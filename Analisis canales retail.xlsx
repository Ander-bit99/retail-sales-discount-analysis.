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erson\Desktop\practices excel\"/>
    </mc:Choice>
  </mc:AlternateContent>
  <xr:revisionPtr revIDLastSave="0" documentId="13_ncr:1_{40B67BFC-0C79-46B1-BF0A-F53A7502B986}" xr6:coauthVersionLast="47" xr6:coauthVersionMax="47" xr10:uidLastSave="{00000000-0000-0000-0000-000000000000}"/>
  <bookViews>
    <workbookView xWindow="-120" yWindow="-120" windowWidth="20640" windowHeight="11760" activeTab="2" xr2:uid="{00000000-000D-0000-FFFF-FFFF00000000}"/>
  </bookViews>
  <sheets>
    <sheet name="Ventas_2026" sheetId="1" r:id="rId1"/>
    <sheet name="Catálogo_Productos" sheetId="2" r:id="rId2"/>
    <sheet name="Tablas Dinamicas" sheetId="4" r:id="rId3"/>
    <sheet name="Dashboard KPIS" sheetId="3" r:id="rId4"/>
  </sheets>
  <definedNames>
    <definedName name="SegmentaciónDeDatos_Canal_Venta">#N/A</definedName>
    <definedName name="SegmentaciónDeDatos_Ciudad">#N/A</definedName>
    <definedName name="SegmentaciónDeDatos_Descuent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D16" i="3"/>
  <c r="E13" i="3"/>
  <c r="D13" i="3"/>
  <c r="E10" i="3"/>
  <c r="D10" i="3"/>
  <c r="H44" i="4"/>
  <c r="H39" i="4"/>
  <c r="H40" i="4"/>
  <c r="H41" i="4"/>
  <c r="H42" i="4"/>
  <c r="H43" i="4"/>
  <c r="H38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" i="1"/>
  <c r="D7" i="3"/>
  <c r="E7" i="3"/>
  <c r="L252" i="1"/>
  <c r="K252" i="1"/>
  <c r="L251" i="1"/>
  <c r="K251" i="1"/>
  <c r="H251" i="1"/>
  <c r="H251" i="1" a="1"/>
  <c r="L250" i="1"/>
  <c r="K250" i="1"/>
  <c r="H250" i="1"/>
  <c r="H250" i="1" a="1"/>
  <c r="L249" i="1"/>
  <c r="K249" i="1"/>
  <c r="H249" i="1"/>
  <c r="H249" i="1" a="1"/>
  <c r="L248" i="1"/>
  <c r="K248" i="1"/>
  <c r="H248" i="1"/>
  <c r="H248" i="1" a="1"/>
  <c r="L247" i="1"/>
  <c r="K247" i="1"/>
  <c r="H247" i="1"/>
  <c r="H247" i="1" a="1"/>
  <c r="L246" i="1"/>
  <c r="K246" i="1"/>
  <c r="H246" i="1"/>
  <c r="H246" i="1" a="1"/>
  <c r="L245" i="1"/>
  <c r="K245" i="1"/>
  <c r="H245" i="1"/>
  <c r="H245" i="1" a="1"/>
  <c r="L244" i="1"/>
  <c r="K244" i="1"/>
  <c r="H244" i="1"/>
  <c r="H244" i="1" a="1"/>
  <c r="L243" i="1"/>
  <c r="K243" i="1"/>
  <c r="H243" i="1"/>
  <c r="H243" i="1" a="1"/>
  <c r="L242" i="1"/>
  <c r="K242" i="1"/>
  <c r="H242" i="1"/>
  <c r="H242" i="1" a="1"/>
  <c r="L241" i="1"/>
  <c r="K241" i="1"/>
  <c r="H241" i="1"/>
  <c r="H241" i="1" a="1"/>
  <c r="L240" i="1"/>
  <c r="K240" i="1"/>
  <c r="H240" i="1"/>
  <c r="H240" i="1" a="1"/>
  <c r="L239" i="1"/>
  <c r="K239" i="1"/>
  <c r="H239" i="1"/>
  <c r="H239" i="1" a="1"/>
  <c r="L238" i="1"/>
  <c r="K238" i="1"/>
  <c r="H238" i="1"/>
  <c r="H238" i="1" a="1"/>
  <c r="L237" i="1"/>
  <c r="K237" i="1"/>
  <c r="H237" i="1"/>
  <c r="H237" i="1" a="1"/>
  <c r="L236" i="1"/>
  <c r="K236" i="1"/>
  <c r="H236" i="1"/>
  <c r="H236" i="1" a="1"/>
  <c r="L235" i="1"/>
  <c r="K235" i="1"/>
  <c r="H235" i="1"/>
  <c r="H235" i="1" a="1"/>
  <c r="L234" i="1"/>
  <c r="K234" i="1"/>
  <c r="H234" i="1"/>
  <c r="H234" i="1" a="1"/>
  <c r="L233" i="1"/>
  <c r="K233" i="1"/>
  <c r="H233" i="1"/>
  <c r="H233" i="1" a="1"/>
  <c r="L232" i="1"/>
  <c r="K232" i="1"/>
  <c r="H232" i="1"/>
  <c r="H232" i="1" a="1"/>
  <c r="L231" i="1"/>
  <c r="K231" i="1"/>
  <c r="H231" i="1"/>
  <c r="H231" i="1" a="1"/>
  <c r="L230" i="1"/>
  <c r="K230" i="1"/>
  <c r="H230" i="1"/>
  <c r="H230" i="1" a="1"/>
  <c r="L229" i="1"/>
  <c r="K229" i="1"/>
  <c r="H229" i="1"/>
  <c r="H229" i="1" a="1"/>
  <c r="L228" i="1"/>
  <c r="K228" i="1"/>
  <c r="H228" i="1"/>
  <c r="H228" i="1" a="1"/>
  <c r="L227" i="1"/>
  <c r="K227" i="1"/>
  <c r="H227" i="1"/>
  <c r="H227" i="1" a="1"/>
  <c r="L226" i="1"/>
  <c r="K226" i="1"/>
  <c r="H226" i="1"/>
  <c r="H226" i="1" a="1"/>
  <c r="L225" i="1"/>
  <c r="K225" i="1"/>
  <c r="H225" i="1"/>
  <c r="H225" i="1" a="1"/>
  <c r="L224" i="1"/>
  <c r="K224" i="1"/>
  <c r="H224" i="1"/>
  <c r="H224" i="1" a="1"/>
  <c r="L223" i="1"/>
  <c r="K223" i="1"/>
  <c r="H223" i="1"/>
  <c r="H223" i="1" a="1"/>
  <c r="L222" i="1"/>
  <c r="K222" i="1"/>
  <c r="H222" i="1"/>
  <c r="H222" i="1" a="1"/>
  <c r="L221" i="1"/>
  <c r="K221" i="1"/>
  <c r="H221" i="1"/>
  <c r="H221" i="1" a="1"/>
  <c r="L220" i="1"/>
  <c r="K220" i="1"/>
  <c r="H220" i="1"/>
  <c r="H220" i="1" a="1"/>
  <c r="L219" i="1"/>
  <c r="K219" i="1"/>
  <c r="H219" i="1"/>
  <c r="H219" i="1" a="1"/>
  <c r="L218" i="1"/>
  <c r="K218" i="1"/>
  <c r="H218" i="1"/>
  <c r="H218" i="1" a="1"/>
  <c r="L217" i="1"/>
  <c r="K217" i="1"/>
  <c r="H217" i="1"/>
  <c r="H217" i="1" a="1"/>
  <c r="L216" i="1"/>
  <c r="K216" i="1"/>
  <c r="H216" i="1"/>
  <c r="H216" i="1" a="1"/>
  <c r="L215" i="1"/>
  <c r="K215" i="1"/>
  <c r="H215" i="1"/>
  <c r="H215" i="1" a="1"/>
  <c r="L214" i="1"/>
  <c r="K214" i="1"/>
  <c r="H214" i="1"/>
  <c r="H214" i="1" a="1"/>
  <c r="L213" i="1"/>
  <c r="K213" i="1"/>
  <c r="H213" i="1"/>
  <c r="H213" i="1" a="1"/>
  <c r="L212" i="1"/>
  <c r="K212" i="1"/>
  <c r="H212" i="1"/>
  <c r="H212" i="1" a="1"/>
  <c r="L211" i="1"/>
  <c r="K211" i="1"/>
  <c r="H211" i="1"/>
  <c r="H211" i="1" a="1"/>
  <c r="L210" i="1"/>
  <c r="K210" i="1"/>
  <c r="H210" i="1"/>
  <c r="H210" i="1" a="1"/>
  <c r="L209" i="1"/>
  <c r="K209" i="1"/>
  <c r="H209" i="1"/>
  <c r="H209" i="1" a="1"/>
  <c r="L208" i="1"/>
  <c r="K208" i="1"/>
  <c r="H208" i="1"/>
  <c r="H208" i="1" a="1"/>
  <c r="L207" i="1"/>
  <c r="K207" i="1"/>
  <c r="H207" i="1"/>
  <c r="H207" i="1" a="1"/>
  <c r="L206" i="1"/>
  <c r="K206" i="1"/>
  <c r="H206" i="1"/>
  <c r="H206" i="1" a="1"/>
  <c r="L205" i="1"/>
  <c r="K205" i="1"/>
  <c r="H205" i="1"/>
  <c r="H205" i="1" a="1"/>
  <c r="L204" i="1"/>
  <c r="K204" i="1"/>
  <c r="H204" i="1"/>
  <c r="H204" i="1" a="1"/>
  <c r="L203" i="1"/>
  <c r="K203" i="1"/>
  <c r="H203" i="1"/>
  <c r="H203" i="1" a="1"/>
  <c r="L202" i="1"/>
  <c r="K202" i="1"/>
  <c r="H202" i="1"/>
  <c r="H202" i="1" a="1"/>
  <c r="L201" i="1"/>
  <c r="K201" i="1"/>
  <c r="H201" i="1"/>
  <c r="H201" i="1" a="1"/>
  <c r="L200" i="1"/>
  <c r="K200" i="1"/>
  <c r="H200" i="1"/>
  <c r="H200" i="1" a="1"/>
  <c r="L199" i="1"/>
  <c r="K199" i="1"/>
  <c r="H199" i="1"/>
  <c r="H199" i="1" a="1"/>
  <c r="L198" i="1"/>
  <c r="K198" i="1"/>
  <c r="H198" i="1"/>
  <c r="H198" i="1" a="1"/>
  <c r="L197" i="1"/>
  <c r="K197" i="1"/>
  <c r="H197" i="1"/>
  <c r="H197" i="1" a="1"/>
  <c r="L196" i="1"/>
  <c r="K196" i="1"/>
  <c r="H196" i="1"/>
  <c r="H196" i="1" a="1"/>
  <c r="L195" i="1"/>
  <c r="K195" i="1"/>
  <c r="H195" i="1"/>
  <c r="H195" i="1" a="1"/>
  <c r="L194" i="1"/>
  <c r="K194" i="1"/>
  <c r="H194" i="1"/>
  <c r="H194" i="1" a="1"/>
  <c r="L193" i="1"/>
  <c r="K193" i="1"/>
  <c r="H193" i="1"/>
  <c r="H193" i="1" a="1"/>
  <c r="L192" i="1"/>
  <c r="K192" i="1"/>
  <c r="H192" i="1"/>
  <c r="H192" i="1" a="1"/>
  <c r="L191" i="1"/>
  <c r="K191" i="1"/>
  <c r="H191" i="1"/>
  <c r="H191" i="1" a="1"/>
  <c r="L190" i="1"/>
  <c r="K190" i="1"/>
  <c r="H190" i="1"/>
  <c r="H190" i="1" a="1"/>
  <c r="L189" i="1"/>
  <c r="K189" i="1"/>
  <c r="H189" i="1"/>
  <c r="H189" i="1" a="1"/>
  <c r="L188" i="1"/>
  <c r="K188" i="1"/>
  <c r="H188" i="1"/>
  <c r="H188" i="1" a="1"/>
  <c r="L187" i="1"/>
  <c r="K187" i="1"/>
  <c r="H187" i="1"/>
  <c r="H187" i="1" a="1"/>
  <c r="L186" i="1"/>
  <c r="K186" i="1"/>
  <c r="H186" i="1"/>
  <c r="H186" i="1" a="1"/>
  <c r="L185" i="1"/>
  <c r="K185" i="1"/>
  <c r="H185" i="1"/>
  <c r="H185" i="1" a="1"/>
  <c r="L184" i="1"/>
  <c r="K184" i="1"/>
  <c r="H184" i="1"/>
  <c r="H184" i="1" a="1"/>
  <c r="L183" i="1"/>
  <c r="K183" i="1"/>
  <c r="H183" i="1"/>
  <c r="H183" i="1" a="1"/>
  <c r="L182" i="1"/>
  <c r="K182" i="1"/>
  <c r="H182" i="1"/>
  <c r="H182" i="1" a="1"/>
  <c r="L181" i="1"/>
  <c r="K181" i="1"/>
  <c r="H181" i="1"/>
  <c r="H181" i="1" a="1"/>
  <c r="L180" i="1"/>
  <c r="K180" i="1"/>
  <c r="H180" i="1"/>
  <c r="H180" i="1" a="1"/>
  <c r="L179" i="1"/>
  <c r="K179" i="1"/>
  <c r="H179" i="1"/>
  <c r="H179" i="1" a="1"/>
  <c r="L178" i="1"/>
  <c r="K178" i="1"/>
  <c r="H178" i="1"/>
  <c r="H178" i="1" a="1"/>
  <c r="L177" i="1"/>
  <c r="K177" i="1"/>
  <c r="H177" i="1"/>
  <c r="H177" i="1" a="1"/>
  <c r="L176" i="1"/>
  <c r="K176" i="1"/>
  <c r="H176" i="1"/>
  <c r="H176" i="1" a="1"/>
  <c r="L175" i="1"/>
  <c r="K175" i="1"/>
  <c r="H175" i="1"/>
  <c r="H175" i="1" a="1"/>
  <c r="L174" i="1"/>
  <c r="K174" i="1"/>
  <c r="H174" i="1"/>
  <c r="H174" i="1" a="1"/>
  <c r="L173" i="1"/>
  <c r="K173" i="1"/>
  <c r="H173" i="1"/>
  <c r="H173" i="1" a="1"/>
  <c r="L172" i="1"/>
  <c r="K172" i="1"/>
  <c r="H172" i="1"/>
  <c r="H172" i="1" a="1"/>
  <c r="L171" i="1"/>
  <c r="K171" i="1"/>
  <c r="H171" i="1"/>
  <c r="H171" i="1" a="1"/>
  <c r="L170" i="1"/>
  <c r="K170" i="1"/>
  <c r="H170" i="1"/>
  <c r="H170" i="1" a="1"/>
  <c r="L169" i="1"/>
  <c r="K169" i="1"/>
  <c r="H169" i="1"/>
  <c r="H169" i="1" a="1"/>
  <c r="L168" i="1"/>
  <c r="K168" i="1"/>
  <c r="H168" i="1"/>
  <c r="H168" i="1" a="1"/>
  <c r="L167" i="1"/>
  <c r="K167" i="1"/>
  <c r="H167" i="1"/>
  <c r="H167" i="1" a="1"/>
  <c r="L166" i="1"/>
  <c r="K166" i="1"/>
  <c r="H166" i="1"/>
  <c r="H166" i="1" a="1"/>
  <c r="L165" i="1"/>
  <c r="K165" i="1"/>
  <c r="H165" i="1"/>
  <c r="H165" i="1" a="1"/>
  <c r="L164" i="1"/>
  <c r="K164" i="1"/>
  <c r="H164" i="1"/>
  <c r="H164" i="1" a="1"/>
  <c r="L163" i="1"/>
  <c r="K163" i="1"/>
  <c r="H163" i="1"/>
  <c r="H163" i="1" a="1"/>
  <c r="L162" i="1"/>
  <c r="K162" i="1"/>
  <c r="H162" i="1"/>
  <c r="H162" i="1" a="1"/>
  <c r="L161" i="1"/>
  <c r="K161" i="1"/>
  <c r="H161" i="1"/>
  <c r="H161" i="1" a="1"/>
  <c r="L160" i="1"/>
  <c r="K160" i="1"/>
  <c r="H160" i="1"/>
  <c r="H160" i="1" a="1"/>
  <c r="L159" i="1"/>
  <c r="K159" i="1"/>
  <c r="H159" i="1"/>
  <c r="H159" i="1" a="1"/>
  <c r="L158" i="1"/>
  <c r="K158" i="1"/>
  <c r="H158" i="1"/>
  <c r="H158" i="1" a="1"/>
  <c r="L157" i="1"/>
  <c r="K157" i="1"/>
  <c r="H157" i="1"/>
  <c r="H157" i="1" a="1"/>
  <c r="L156" i="1"/>
  <c r="K156" i="1"/>
  <c r="H156" i="1"/>
  <c r="H156" i="1" a="1"/>
  <c r="L155" i="1"/>
  <c r="K155" i="1"/>
  <c r="H155" i="1"/>
  <c r="H155" i="1" a="1"/>
  <c r="L154" i="1"/>
  <c r="K154" i="1"/>
  <c r="H154" i="1"/>
  <c r="H154" i="1" a="1"/>
  <c r="L153" i="1"/>
  <c r="K153" i="1"/>
  <c r="H153" i="1"/>
  <c r="H153" i="1" a="1"/>
  <c r="L152" i="1"/>
  <c r="K152" i="1"/>
  <c r="H152" i="1"/>
  <c r="H152" i="1" a="1"/>
  <c r="L151" i="1"/>
  <c r="K151" i="1"/>
  <c r="H151" i="1"/>
  <c r="H151" i="1" a="1"/>
  <c r="L150" i="1"/>
  <c r="K150" i="1"/>
  <c r="H150" i="1"/>
  <c r="H150" i="1" a="1"/>
  <c r="L149" i="1"/>
  <c r="K149" i="1"/>
  <c r="H149" i="1"/>
  <c r="H149" i="1" a="1"/>
  <c r="L148" i="1"/>
  <c r="K148" i="1"/>
  <c r="H148" i="1"/>
  <c r="H148" i="1" a="1"/>
  <c r="L147" i="1"/>
  <c r="K147" i="1"/>
  <c r="H147" i="1"/>
  <c r="H147" i="1" a="1"/>
  <c r="L146" i="1"/>
  <c r="K146" i="1"/>
  <c r="H146" i="1"/>
  <c r="H146" i="1" a="1"/>
  <c r="L145" i="1"/>
  <c r="K145" i="1"/>
  <c r="H145" i="1"/>
  <c r="H145" i="1" a="1"/>
  <c r="L144" i="1"/>
  <c r="K144" i="1"/>
  <c r="H144" i="1"/>
  <c r="H144" i="1" a="1"/>
  <c r="L143" i="1"/>
  <c r="K143" i="1"/>
  <c r="H143" i="1"/>
  <c r="H143" i="1" a="1"/>
  <c r="L142" i="1"/>
  <c r="K142" i="1"/>
  <c r="H142" i="1"/>
  <c r="H142" i="1" a="1"/>
  <c r="L141" i="1"/>
  <c r="K141" i="1"/>
  <c r="H141" i="1"/>
  <c r="H141" i="1" a="1"/>
  <c r="L140" i="1"/>
  <c r="K140" i="1"/>
  <c r="H140" i="1"/>
  <c r="H140" i="1" a="1"/>
  <c r="L139" i="1"/>
  <c r="K139" i="1"/>
  <c r="H139" i="1"/>
  <c r="H139" i="1" a="1"/>
  <c r="L138" i="1"/>
  <c r="K138" i="1"/>
  <c r="H138" i="1"/>
  <c r="H138" i="1" a="1"/>
  <c r="L137" i="1"/>
  <c r="K137" i="1"/>
  <c r="H137" i="1"/>
  <c r="H137" i="1" a="1"/>
  <c r="L136" i="1"/>
  <c r="K136" i="1"/>
  <c r="H136" i="1"/>
  <c r="H136" i="1" a="1"/>
  <c r="L135" i="1"/>
  <c r="K135" i="1"/>
  <c r="H135" i="1"/>
  <c r="H135" i="1" a="1"/>
  <c r="L134" i="1"/>
  <c r="K134" i="1"/>
  <c r="H134" i="1"/>
  <c r="H134" i="1" a="1"/>
  <c r="L133" i="1"/>
  <c r="K133" i="1"/>
  <c r="H133" i="1"/>
  <c r="H133" i="1" a="1"/>
  <c r="L132" i="1"/>
  <c r="K132" i="1"/>
  <c r="H132" i="1"/>
  <c r="H132" i="1" a="1"/>
  <c r="L131" i="1"/>
  <c r="K131" i="1"/>
  <c r="H131" i="1"/>
  <c r="H131" i="1" a="1"/>
  <c r="L130" i="1"/>
  <c r="K130" i="1"/>
  <c r="H130" i="1"/>
  <c r="H130" i="1" a="1"/>
  <c r="L129" i="1"/>
  <c r="K129" i="1"/>
  <c r="H129" i="1"/>
  <c r="H129" i="1" a="1"/>
  <c r="L128" i="1"/>
  <c r="K128" i="1"/>
  <c r="H128" i="1"/>
  <c r="H128" i="1" a="1"/>
  <c r="L127" i="1"/>
  <c r="K127" i="1"/>
  <c r="H127" i="1"/>
  <c r="H127" i="1" a="1"/>
  <c r="L126" i="1"/>
  <c r="K126" i="1"/>
  <c r="H126" i="1"/>
  <c r="H126" i="1" a="1"/>
  <c r="L125" i="1"/>
  <c r="K125" i="1"/>
  <c r="H125" i="1"/>
  <c r="H125" i="1" a="1"/>
  <c r="L124" i="1"/>
  <c r="K124" i="1"/>
  <c r="H124" i="1"/>
  <c r="H124" i="1" a="1"/>
  <c r="L123" i="1"/>
  <c r="K123" i="1"/>
  <c r="H123" i="1"/>
  <c r="H123" i="1" a="1"/>
  <c r="L122" i="1"/>
  <c r="K122" i="1"/>
  <c r="H122" i="1"/>
  <c r="H122" i="1" a="1"/>
  <c r="L121" i="1"/>
  <c r="K121" i="1"/>
  <c r="H121" i="1"/>
  <c r="H121" i="1" a="1"/>
  <c r="L120" i="1"/>
  <c r="K120" i="1"/>
  <c r="H120" i="1"/>
  <c r="H120" i="1" a="1"/>
  <c r="L119" i="1"/>
  <c r="K119" i="1"/>
  <c r="H119" i="1"/>
  <c r="H119" i="1" a="1"/>
  <c r="L118" i="1"/>
  <c r="K118" i="1"/>
  <c r="H118" i="1"/>
  <c r="H118" i="1" a="1"/>
  <c r="L117" i="1"/>
  <c r="K117" i="1"/>
  <c r="H117" i="1"/>
  <c r="H117" i="1" a="1"/>
  <c r="L116" i="1"/>
  <c r="K116" i="1"/>
  <c r="H116" i="1"/>
  <c r="H116" i="1" a="1"/>
  <c r="L115" i="1"/>
  <c r="K115" i="1"/>
  <c r="H115" i="1"/>
  <c r="H115" i="1" a="1"/>
  <c r="L114" i="1"/>
  <c r="K114" i="1"/>
  <c r="H114" i="1"/>
  <c r="H114" i="1" a="1"/>
  <c r="L113" i="1"/>
  <c r="K113" i="1"/>
  <c r="H113" i="1"/>
  <c r="H113" i="1" a="1"/>
  <c r="L112" i="1"/>
  <c r="K112" i="1"/>
  <c r="H112" i="1"/>
  <c r="H112" i="1" a="1"/>
  <c r="L111" i="1"/>
  <c r="K111" i="1"/>
  <c r="H111" i="1"/>
  <c r="H111" i="1" a="1"/>
  <c r="L110" i="1"/>
  <c r="K110" i="1"/>
  <c r="H110" i="1"/>
  <c r="H110" i="1" a="1"/>
  <c r="L109" i="1"/>
  <c r="K109" i="1"/>
  <c r="H109" i="1"/>
  <c r="H109" i="1" a="1"/>
  <c r="L108" i="1"/>
  <c r="K108" i="1"/>
  <c r="H108" i="1"/>
  <c r="H108" i="1" a="1"/>
  <c r="L107" i="1"/>
  <c r="K107" i="1"/>
  <c r="H107" i="1"/>
  <c r="H107" i="1" a="1"/>
  <c r="L106" i="1"/>
  <c r="K106" i="1"/>
  <c r="H106" i="1"/>
  <c r="H106" i="1" a="1"/>
  <c r="L105" i="1"/>
  <c r="K105" i="1"/>
  <c r="H105" i="1"/>
  <c r="H105" i="1" a="1"/>
  <c r="L104" i="1"/>
  <c r="K104" i="1"/>
  <c r="H104" i="1"/>
  <c r="H104" i="1" a="1"/>
  <c r="L103" i="1"/>
  <c r="K103" i="1"/>
  <c r="H103" i="1"/>
  <c r="H103" i="1" a="1"/>
  <c r="L102" i="1"/>
  <c r="K102" i="1"/>
  <c r="H102" i="1"/>
  <c r="H102" i="1" a="1"/>
  <c r="L101" i="1"/>
  <c r="K101" i="1"/>
  <c r="H101" i="1"/>
  <c r="H101" i="1" a="1"/>
  <c r="L100" i="1"/>
  <c r="K100" i="1"/>
  <c r="H100" i="1"/>
  <c r="H100" i="1" a="1"/>
  <c r="L99" i="1"/>
  <c r="K99" i="1"/>
  <c r="H99" i="1"/>
  <c r="H99" i="1" a="1"/>
  <c r="L98" i="1"/>
  <c r="K98" i="1"/>
  <c r="H98" i="1"/>
  <c r="H98" i="1" a="1"/>
  <c r="L97" i="1"/>
  <c r="K97" i="1"/>
  <c r="H97" i="1"/>
  <c r="H97" i="1" a="1"/>
  <c r="L96" i="1"/>
  <c r="K96" i="1"/>
  <c r="H96" i="1"/>
  <c r="H96" i="1" a="1"/>
  <c r="L95" i="1"/>
  <c r="K95" i="1"/>
  <c r="H95" i="1"/>
  <c r="H95" i="1" a="1"/>
  <c r="L94" i="1"/>
  <c r="K94" i="1"/>
  <c r="H94" i="1"/>
  <c r="H94" i="1" a="1"/>
  <c r="L93" i="1"/>
  <c r="K93" i="1"/>
  <c r="H93" i="1"/>
  <c r="H93" i="1" a="1"/>
  <c r="L92" i="1"/>
  <c r="K92" i="1"/>
  <c r="H92" i="1"/>
  <c r="H92" i="1" a="1"/>
  <c r="L91" i="1"/>
  <c r="K91" i="1"/>
  <c r="H91" i="1"/>
  <c r="H91" i="1" a="1"/>
  <c r="L90" i="1"/>
  <c r="K90" i="1"/>
  <c r="H90" i="1"/>
  <c r="H90" i="1" a="1"/>
  <c r="L89" i="1"/>
  <c r="K89" i="1"/>
  <c r="H89" i="1"/>
  <c r="H89" i="1" a="1"/>
  <c r="L88" i="1"/>
  <c r="K88" i="1"/>
  <c r="H88" i="1"/>
  <c r="H88" i="1" a="1"/>
  <c r="L87" i="1"/>
  <c r="K87" i="1"/>
  <c r="H87" i="1"/>
  <c r="H87" i="1" a="1"/>
  <c r="L86" i="1"/>
  <c r="K86" i="1"/>
  <c r="H86" i="1"/>
  <c r="H86" i="1" a="1"/>
  <c r="L85" i="1"/>
  <c r="K85" i="1"/>
  <c r="H85" i="1"/>
  <c r="H85" i="1" a="1"/>
  <c r="L84" i="1"/>
  <c r="K84" i="1"/>
  <c r="H84" i="1"/>
  <c r="H84" i="1" a="1"/>
  <c r="L83" i="1"/>
  <c r="K83" i="1"/>
  <c r="H83" i="1"/>
  <c r="H83" i="1" a="1"/>
  <c r="L82" i="1"/>
  <c r="K82" i="1"/>
  <c r="H82" i="1"/>
  <c r="H82" i="1" a="1"/>
  <c r="L81" i="1"/>
  <c r="K81" i="1"/>
  <c r="H81" i="1"/>
  <c r="H81" i="1" a="1"/>
  <c r="L80" i="1"/>
  <c r="K80" i="1"/>
  <c r="H80" i="1"/>
  <c r="H80" i="1" a="1"/>
  <c r="L79" i="1"/>
  <c r="K79" i="1"/>
  <c r="H79" i="1"/>
  <c r="H79" i="1" a="1"/>
  <c r="L78" i="1"/>
  <c r="K78" i="1"/>
  <c r="H78" i="1"/>
  <c r="H78" i="1" a="1"/>
  <c r="L77" i="1"/>
  <c r="K77" i="1"/>
  <c r="H77" i="1"/>
  <c r="H77" i="1" a="1"/>
  <c r="L76" i="1"/>
  <c r="K76" i="1"/>
  <c r="H76" i="1"/>
  <c r="H76" i="1" a="1"/>
  <c r="L75" i="1"/>
  <c r="K75" i="1"/>
  <c r="H75" i="1"/>
  <c r="H75" i="1" a="1"/>
  <c r="L74" i="1"/>
  <c r="K74" i="1"/>
  <c r="H74" i="1"/>
  <c r="H74" i="1" a="1"/>
  <c r="L73" i="1"/>
  <c r="K73" i="1"/>
  <c r="H73" i="1"/>
  <c r="H73" i="1" a="1"/>
  <c r="L72" i="1"/>
  <c r="K72" i="1"/>
  <c r="H72" i="1"/>
  <c r="H72" i="1" a="1"/>
  <c r="L71" i="1"/>
  <c r="K71" i="1"/>
  <c r="H71" i="1"/>
  <c r="H71" i="1" a="1"/>
  <c r="L70" i="1"/>
  <c r="K70" i="1"/>
  <c r="H70" i="1"/>
  <c r="H70" i="1" a="1"/>
  <c r="L69" i="1"/>
  <c r="K69" i="1"/>
  <c r="H69" i="1"/>
  <c r="H69" i="1" a="1"/>
  <c r="L68" i="1"/>
  <c r="K68" i="1"/>
  <c r="H68" i="1"/>
  <c r="H68" i="1" a="1"/>
  <c r="L67" i="1"/>
  <c r="K67" i="1"/>
  <c r="H67" i="1"/>
  <c r="H67" i="1" a="1"/>
  <c r="L66" i="1"/>
  <c r="K66" i="1"/>
  <c r="H66" i="1"/>
  <c r="H66" i="1" a="1"/>
  <c r="L65" i="1"/>
  <c r="K65" i="1"/>
  <c r="H65" i="1"/>
  <c r="H65" i="1" a="1"/>
  <c r="L64" i="1"/>
  <c r="K64" i="1"/>
  <c r="H64" i="1"/>
  <c r="H64" i="1" a="1"/>
  <c r="L63" i="1"/>
  <c r="K63" i="1"/>
  <c r="H63" i="1"/>
  <c r="H63" i="1" a="1"/>
  <c r="L62" i="1"/>
  <c r="K62" i="1"/>
  <c r="H62" i="1"/>
  <c r="H62" i="1" a="1"/>
  <c r="L61" i="1"/>
  <c r="K61" i="1"/>
  <c r="H61" i="1"/>
  <c r="H61" i="1" a="1"/>
  <c r="L60" i="1"/>
  <c r="K60" i="1"/>
  <c r="H60" i="1"/>
  <c r="H60" i="1" a="1"/>
  <c r="L59" i="1"/>
  <c r="K59" i="1"/>
  <c r="H59" i="1"/>
  <c r="H59" i="1" a="1"/>
  <c r="L58" i="1"/>
  <c r="K58" i="1"/>
  <c r="H58" i="1"/>
  <c r="H58" i="1" a="1"/>
  <c r="L57" i="1"/>
  <c r="K57" i="1"/>
  <c r="H57" i="1"/>
  <c r="H57" i="1" a="1"/>
  <c r="L56" i="1"/>
  <c r="K56" i="1"/>
  <c r="H56" i="1"/>
  <c r="H56" i="1" a="1"/>
  <c r="L55" i="1"/>
  <c r="K55" i="1"/>
  <c r="H55" i="1"/>
  <c r="H55" i="1" a="1"/>
  <c r="L54" i="1"/>
  <c r="K54" i="1"/>
  <c r="H54" i="1"/>
  <c r="H54" i="1" a="1"/>
  <c r="L53" i="1"/>
  <c r="K53" i="1"/>
  <c r="H53" i="1"/>
  <c r="H53" i="1" a="1"/>
  <c r="L52" i="1"/>
  <c r="K52" i="1"/>
  <c r="H52" i="1"/>
  <c r="H52" i="1" a="1"/>
  <c r="L51" i="1"/>
  <c r="K51" i="1"/>
  <c r="H51" i="1"/>
  <c r="H51" i="1" a="1"/>
  <c r="L50" i="1"/>
  <c r="K50" i="1"/>
  <c r="H50" i="1"/>
  <c r="H50" i="1" a="1"/>
  <c r="L49" i="1"/>
  <c r="K49" i="1"/>
  <c r="H49" i="1"/>
  <c r="H49" i="1" a="1"/>
  <c r="L48" i="1"/>
  <c r="K48" i="1"/>
  <c r="H48" i="1"/>
  <c r="H48" i="1" a="1"/>
  <c r="L47" i="1"/>
  <c r="K47" i="1"/>
  <c r="H47" i="1"/>
  <c r="H47" i="1" a="1"/>
  <c r="L46" i="1"/>
  <c r="K46" i="1"/>
  <c r="H46" i="1"/>
  <c r="H46" i="1" a="1"/>
  <c r="L45" i="1"/>
  <c r="K45" i="1"/>
  <c r="H45" i="1"/>
  <c r="H45" i="1" a="1"/>
  <c r="L44" i="1"/>
  <c r="K44" i="1"/>
  <c r="H44" i="1"/>
  <c r="H44" i="1" a="1"/>
  <c r="L43" i="1"/>
  <c r="K43" i="1"/>
  <c r="H43" i="1"/>
  <c r="H43" i="1" a="1"/>
  <c r="L42" i="1"/>
  <c r="K42" i="1"/>
  <c r="H42" i="1"/>
  <c r="H42" i="1" a="1"/>
  <c r="L41" i="1"/>
  <c r="K41" i="1"/>
  <c r="H41" i="1"/>
  <c r="H41" i="1" a="1"/>
  <c r="L40" i="1"/>
  <c r="K40" i="1"/>
  <c r="H40" i="1"/>
  <c r="H40" i="1" a="1"/>
  <c r="L39" i="1"/>
  <c r="K39" i="1"/>
  <c r="H39" i="1"/>
  <c r="H39" i="1" a="1"/>
  <c r="L38" i="1"/>
  <c r="K38" i="1"/>
  <c r="H38" i="1"/>
  <c r="H38" i="1" a="1"/>
  <c r="L37" i="1"/>
  <c r="K37" i="1"/>
  <c r="H37" i="1"/>
  <c r="H37" i="1" a="1"/>
  <c r="L36" i="1"/>
  <c r="K36" i="1"/>
  <c r="H36" i="1"/>
  <c r="H36" i="1" a="1"/>
  <c r="L35" i="1"/>
  <c r="K35" i="1"/>
  <c r="H35" i="1"/>
  <c r="H35" i="1" a="1"/>
  <c r="L34" i="1"/>
  <c r="K34" i="1"/>
  <c r="H34" i="1"/>
  <c r="H34" i="1" a="1"/>
  <c r="L33" i="1"/>
  <c r="K33" i="1"/>
  <c r="H33" i="1"/>
  <c r="H33" i="1" a="1"/>
  <c r="L32" i="1"/>
  <c r="K32" i="1"/>
  <c r="H32" i="1"/>
  <c r="H32" i="1" a="1"/>
  <c r="L31" i="1"/>
  <c r="K31" i="1"/>
  <c r="H31" i="1"/>
  <c r="H31" i="1" a="1"/>
  <c r="L30" i="1"/>
  <c r="K30" i="1"/>
  <c r="H30" i="1"/>
  <c r="H30" i="1" a="1"/>
  <c r="L29" i="1"/>
  <c r="K29" i="1"/>
  <c r="H29" i="1"/>
  <c r="H29" i="1" a="1"/>
  <c r="L28" i="1"/>
  <c r="K28" i="1"/>
  <c r="H28" i="1"/>
  <c r="H28" i="1" a="1"/>
  <c r="L27" i="1"/>
  <c r="K27" i="1"/>
  <c r="H27" i="1"/>
  <c r="H27" i="1" a="1"/>
  <c r="L26" i="1"/>
  <c r="K26" i="1"/>
  <c r="H26" i="1"/>
  <c r="H26" i="1" a="1"/>
  <c r="L25" i="1"/>
  <c r="K25" i="1"/>
  <c r="H25" i="1"/>
  <c r="H25" i="1" a="1"/>
  <c r="L24" i="1"/>
  <c r="K24" i="1"/>
  <c r="H24" i="1"/>
  <c r="H24" i="1" a="1"/>
  <c r="L23" i="1"/>
  <c r="K23" i="1"/>
  <c r="H23" i="1"/>
  <c r="H23" i="1" a="1"/>
  <c r="L22" i="1"/>
  <c r="K22" i="1"/>
  <c r="H22" i="1"/>
  <c r="H22" i="1" a="1"/>
  <c r="L21" i="1"/>
  <c r="K21" i="1"/>
  <c r="H21" i="1"/>
  <c r="H21" i="1" a="1"/>
  <c r="L20" i="1"/>
  <c r="K20" i="1"/>
  <c r="H20" i="1"/>
  <c r="H20" i="1" a="1"/>
  <c r="L19" i="1"/>
  <c r="K19" i="1"/>
  <c r="H19" i="1"/>
  <c r="H19" i="1" a="1"/>
  <c r="L18" i="1"/>
  <c r="K18" i="1"/>
  <c r="H18" i="1"/>
  <c r="H18" i="1" a="1"/>
  <c r="L17" i="1"/>
  <c r="K17" i="1"/>
  <c r="H17" i="1"/>
  <c r="H17" i="1" a="1"/>
  <c r="L16" i="1"/>
  <c r="K16" i="1"/>
  <c r="H16" i="1"/>
  <c r="H16" i="1" a="1"/>
  <c r="L15" i="1"/>
  <c r="K15" i="1"/>
  <c r="H15" i="1"/>
  <c r="H15" i="1" a="1"/>
  <c r="L14" i="1"/>
  <c r="K14" i="1"/>
  <c r="H14" i="1"/>
  <c r="H14" i="1" a="1"/>
  <c r="L13" i="1"/>
  <c r="K13" i="1"/>
  <c r="H13" i="1"/>
  <c r="H13" i="1" a="1"/>
  <c r="L12" i="1"/>
  <c r="K12" i="1"/>
  <c r="H12" i="1"/>
  <c r="H12" i="1" a="1"/>
  <c r="L11" i="1"/>
  <c r="K11" i="1"/>
  <c r="H11" i="1"/>
  <c r="H11" i="1" a="1"/>
  <c r="L10" i="1"/>
  <c r="K10" i="1"/>
  <c r="H10" i="1"/>
  <c r="H10" i="1" a="1"/>
  <c r="L9" i="1"/>
  <c r="K9" i="1"/>
  <c r="H9" i="1"/>
  <c r="H9" i="1" a="1"/>
  <c r="L8" i="1"/>
  <c r="K8" i="1"/>
  <c r="H8" i="1"/>
  <c r="H8" i="1" a="1"/>
  <c r="L7" i="1"/>
  <c r="K7" i="1"/>
  <c r="H7" i="1"/>
  <c r="H7" i="1" a="1"/>
  <c r="L6" i="1"/>
  <c r="K6" i="1"/>
  <c r="H6" i="1"/>
  <c r="H6" i="1" a="1"/>
  <c r="L5" i="1"/>
  <c r="K5" i="1"/>
  <c r="H5" i="1"/>
  <c r="H5" i="1" a="1"/>
  <c r="L4" i="1"/>
  <c r="K4" i="1"/>
  <c r="H4" i="1"/>
  <c r="H4" i="1" a="1"/>
  <c r="L3" i="1"/>
  <c r="K3" i="1"/>
  <c r="H3" i="1"/>
  <c r="H3" i="1" a="1"/>
  <c r="L2" i="1"/>
  <c r="K2" i="1"/>
  <c r="H2" i="1"/>
  <c r="H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<sst xmlns="http://schemas.openxmlformats.org/spreadsheetml/2006/main" count="1351" uniqueCount="466">
  <si>
    <t>ID_Venta</t>
  </si>
  <si>
    <t>Fecha</t>
  </si>
  <si>
    <t>Ciudad</t>
  </si>
  <si>
    <t>Canal_Venta</t>
  </si>
  <si>
    <t>SKU</t>
  </si>
  <si>
    <t>Cantidad</t>
  </si>
  <si>
    <t>Descuento_%</t>
  </si>
  <si>
    <t>Producto</t>
  </si>
  <si>
    <t>Categoría</t>
  </si>
  <si>
    <t>Precio_Unitario</t>
  </si>
  <si>
    <t>Total_Bruto</t>
  </si>
  <si>
    <t>Total_Neto</t>
  </si>
  <si>
    <t>VEN-2001</t>
  </si>
  <si>
    <t>2026-03-05</t>
  </si>
  <si>
    <t>Bucaramanga</t>
  </si>
  <si>
    <t>Distribuidor</t>
  </si>
  <si>
    <t>PROD-108</t>
  </si>
  <si>
    <t>VEN-2002</t>
  </si>
  <si>
    <t>2026-05-13</t>
  </si>
  <si>
    <t>Bogotá</t>
  </si>
  <si>
    <t>Sitio Web</t>
  </si>
  <si>
    <t>VEN-2003</t>
  </si>
  <si>
    <t>2026-01-06</t>
  </si>
  <si>
    <t>Pasto</t>
  </si>
  <si>
    <t>PROD-105</t>
  </si>
  <si>
    <t>VEN-2004</t>
  </si>
  <si>
    <t>2026-05-17</t>
  </si>
  <si>
    <t>Barranquilla</t>
  </si>
  <si>
    <t>PROD-101</t>
  </si>
  <si>
    <t>VEN-2005</t>
  </si>
  <si>
    <t>2026-03-14</t>
  </si>
  <si>
    <t>Medellín</t>
  </si>
  <si>
    <t>PROD-104</t>
  </si>
  <si>
    <t>VEN-2006</t>
  </si>
  <si>
    <t>2026-04-18</t>
  </si>
  <si>
    <t>PROD-107</t>
  </si>
  <si>
    <t>VEN-2007</t>
  </si>
  <si>
    <t>2026-03-04</t>
  </si>
  <si>
    <t>VEN-2008</t>
  </si>
  <si>
    <t>2026-05-19</t>
  </si>
  <si>
    <t>Tienda Física</t>
  </si>
  <si>
    <t>VEN-2009</t>
  </si>
  <si>
    <t>2026-06-30</t>
  </si>
  <si>
    <t>Cali</t>
  </si>
  <si>
    <t>VEN-2010</t>
  </si>
  <si>
    <t>2026-04-17</t>
  </si>
  <si>
    <t>VEN-2011</t>
  </si>
  <si>
    <t>2026-04-08</t>
  </si>
  <si>
    <t>VEN-2012</t>
  </si>
  <si>
    <t>2026-06-13</t>
  </si>
  <si>
    <t>VEN-2013</t>
  </si>
  <si>
    <t>2026-03-28</t>
  </si>
  <si>
    <t>App Móvil</t>
  </si>
  <si>
    <t>VEN-2014</t>
  </si>
  <si>
    <t>2026-08-03</t>
  </si>
  <si>
    <t>VEN-2015</t>
  </si>
  <si>
    <t>2026-04-03</t>
  </si>
  <si>
    <t>PROD-106</t>
  </si>
  <si>
    <t>VEN-2016</t>
  </si>
  <si>
    <t>2026-01-29</t>
  </si>
  <si>
    <t>PROD-103</t>
  </si>
  <si>
    <t>VEN-2017</t>
  </si>
  <si>
    <t>2026-07-08</t>
  </si>
  <si>
    <t>VEN-2018</t>
  </si>
  <si>
    <t>2026-04-21</t>
  </si>
  <si>
    <t>VEN-2019</t>
  </si>
  <si>
    <t>2026-07-15</t>
  </si>
  <si>
    <t>VEN-2020</t>
  </si>
  <si>
    <t>2026-01-30</t>
  </si>
  <si>
    <t>VEN-2021</t>
  </si>
  <si>
    <t>2026-05-08</t>
  </si>
  <si>
    <t>VEN-2022</t>
  </si>
  <si>
    <t>2026-02-19</t>
  </si>
  <si>
    <t>VEN-2023</t>
  </si>
  <si>
    <t>2026-07-04</t>
  </si>
  <si>
    <t>VEN-2024</t>
  </si>
  <si>
    <t>2026-06-27</t>
  </si>
  <si>
    <t>VEN-2025</t>
  </si>
  <si>
    <t>2026-04-25</t>
  </si>
  <si>
    <t>VEN-2026</t>
  </si>
  <si>
    <t>2026-02-15</t>
  </si>
  <si>
    <t>VEN-2027</t>
  </si>
  <si>
    <t>2026-05-06</t>
  </si>
  <si>
    <t>VEN-2028</t>
  </si>
  <si>
    <t>2026-07-16</t>
  </si>
  <si>
    <t>VEN-2029</t>
  </si>
  <si>
    <t>2026-05-26</t>
  </si>
  <si>
    <t>VEN-2030</t>
  </si>
  <si>
    <t>VEN-2031</t>
  </si>
  <si>
    <t>2026-07-05</t>
  </si>
  <si>
    <t>VEN-2032</t>
  </si>
  <si>
    <t>VEN-2033</t>
  </si>
  <si>
    <t>2026-03-08</t>
  </si>
  <si>
    <t>PROD-102</t>
  </si>
  <si>
    <t>VEN-2034</t>
  </si>
  <si>
    <t>2026-02-12</t>
  </si>
  <si>
    <t>VEN-2035</t>
  </si>
  <si>
    <t>VEN-2036</t>
  </si>
  <si>
    <t>VEN-2037</t>
  </si>
  <si>
    <t>2026-04-14</t>
  </si>
  <si>
    <t>VEN-2038</t>
  </si>
  <si>
    <t>2026-03-18</t>
  </si>
  <si>
    <t>VEN-2039</t>
  </si>
  <si>
    <t>VEN-2040</t>
  </si>
  <si>
    <t>2026-02-05</t>
  </si>
  <si>
    <t>VEN-2041</t>
  </si>
  <si>
    <t>VEN-2042</t>
  </si>
  <si>
    <t>2026-04-10</t>
  </si>
  <si>
    <t>VEN-2043</t>
  </si>
  <si>
    <t>VEN-2044</t>
  </si>
  <si>
    <t>2026-03-25</t>
  </si>
  <si>
    <t>VEN-2045</t>
  </si>
  <si>
    <t>VEN-2046</t>
  </si>
  <si>
    <t>2026-03-01</t>
  </si>
  <si>
    <t>VEN-2047</t>
  </si>
  <si>
    <t>2026-01-26</t>
  </si>
  <si>
    <t>VEN-2048</t>
  </si>
  <si>
    <t>2026-01-21</t>
  </si>
  <si>
    <t>VEN-2049</t>
  </si>
  <si>
    <t>2026-01-28</t>
  </si>
  <si>
    <t>VEN-2050</t>
  </si>
  <si>
    <t>VEN-2051</t>
  </si>
  <si>
    <t>2026-03-02</t>
  </si>
  <si>
    <t>VEN-2052</t>
  </si>
  <si>
    <t>2026-05-05</t>
  </si>
  <si>
    <t>VEN-2053</t>
  </si>
  <si>
    <t>2026-04-01</t>
  </si>
  <si>
    <t>VEN-2054</t>
  </si>
  <si>
    <t>2026-04-07</t>
  </si>
  <si>
    <t>VEN-2055</t>
  </si>
  <si>
    <t>2026-03-29</t>
  </si>
  <si>
    <t>VEN-2056</t>
  </si>
  <si>
    <t>2026-05-31</t>
  </si>
  <si>
    <t>VEN-2057</t>
  </si>
  <si>
    <t>2026-08-04</t>
  </si>
  <si>
    <t>VEN-2058</t>
  </si>
  <si>
    <t>2026-07-10</t>
  </si>
  <si>
    <t>VEN-2059</t>
  </si>
  <si>
    <t>VEN-2060</t>
  </si>
  <si>
    <t>2026-04-24</t>
  </si>
  <si>
    <t>VEN-2061</t>
  </si>
  <si>
    <t>2026-06-03</t>
  </si>
  <si>
    <t>VEN-2062</t>
  </si>
  <si>
    <t>2026-05-03</t>
  </si>
  <si>
    <t>VEN-2063</t>
  </si>
  <si>
    <t>2026-01-14</t>
  </si>
  <si>
    <t>VEN-2064</t>
  </si>
  <si>
    <t>2026-03-24</t>
  </si>
  <si>
    <t>VEN-2065</t>
  </si>
  <si>
    <t>2026-06-04</t>
  </si>
  <si>
    <t>VEN-2066</t>
  </si>
  <si>
    <t>VEN-2067</t>
  </si>
  <si>
    <t>VEN-2068</t>
  </si>
  <si>
    <t>2026-03-15</t>
  </si>
  <si>
    <t>VEN-2069</t>
  </si>
  <si>
    <t>2026-02-10</t>
  </si>
  <si>
    <t>VEN-2070</t>
  </si>
  <si>
    <t>2026-08-14</t>
  </si>
  <si>
    <t>VEN-2071</t>
  </si>
  <si>
    <t>2026-01-04</t>
  </si>
  <si>
    <t>VEN-2072</t>
  </si>
  <si>
    <t>2026-03-11</t>
  </si>
  <si>
    <t>VEN-2073</t>
  </si>
  <si>
    <t>2026-02-27</t>
  </si>
  <si>
    <t>VEN-2074</t>
  </si>
  <si>
    <t>VEN-2075</t>
  </si>
  <si>
    <t>VEN-2076</t>
  </si>
  <si>
    <t>2026-04-26</t>
  </si>
  <si>
    <t>VEN-2077</t>
  </si>
  <si>
    <t>2026-06-20</t>
  </si>
  <si>
    <t>VEN-2078</t>
  </si>
  <si>
    <t>2026-03-20</t>
  </si>
  <si>
    <t>VEN-2079</t>
  </si>
  <si>
    <t>2026-06-16</t>
  </si>
  <si>
    <t>VEN-2080</t>
  </si>
  <si>
    <t>2026-03-07</t>
  </si>
  <si>
    <t>VEN-2081</t>
  </si>
  <si>
    <t>VEN-2082</t>
  </si>
  <si>
    <t>VEN-2083</t>
  </si>
  <si>
    <t>2026-03-12</t>
  </si>
  <si>
    <t>VEN-2084</t>
  </si>
  <si>
    <t>2026-06-19</t>
  </si>
  <si>
    <t>VEN-2085</t>
  </si>
  <si>
    <t>2026-05-10</t>
  </si>
  <si>
    <t>VEN-2086</t>
  </si>
  <si>
    <t>VEN-2087</t>
  </si>
  <si>
    <t>2026-03-03</t>
  </si>
  <si>
    <t>VEN-2088</t>
  </si>
  <si>
    <t>2026-07-12</t>
  </si>
  <si>
    <t>VEN-2089</t>
  </si>
  <si>
    <t>VEN-2090</t>
  </si>
  <si>
    <t>VEN-2091</t>
  </si>
  <si>
    <t>2026-05-11</t>
  </si>
  <si>
    <t>VEN-2092</t>
  </si>
  <si>
    <t>VEN-2093</t>
  </si>
  <si>
    <t>2026-01-01</t>
  </si>
  <si>
    <t>VEN-2094</t>
  </si>
  <si>
    <t>2026-06-22</t>
  </si>
  <si>
    <t>VEN-2095</t>
  </si>
  <si>
    <t>2026-06-21</t>
  </si>
  <si>
    <t>VEN-2096</t>
  </si>
  <si>
    <t>VEN-2097</t>
  </si>
  <si>
    <t>2026-05-12</t>
  </si>
  <si>
    <t>VEN-2098</t>
  </si>
  <si>
    <t>2026-07-30</t>
  </si>
  <si>
    <t>VEN-2099</t>
  </si>
  <si>
    <t>VEN-2100</t>
  </si>
  <si>
    <t>VEN-2101</t>
  </si>
  <si>
    <t>VEN-2102</t>
  </si>
  <si>
    <t>2026-04-19</t>
  </si>
  <si>
    <t>VEN-2103</t>
  </si>
  <si>
    <t>2026-06-25</t>
  </si>
  <si>
    <t>VEN-2104</t>
  </si>
  <si>
    <t>VEN-2105</t>
  </si>
  <si>
    <t>2026-06-23</t>
  </si>
  <si>
    <t>VEN-2106</t>
  </si>
  <si>
    <t>2026-06-17</t>
  </si>
  <si>
    <t>VEN-2107</t>
  </si>
  <si>
    <t>2026-03-22</t>
  </si>
  <si>
    <t>VEN-2108</t>
  </si>
  <si>
    <t>VEN-2109</t>
  </si>
  <si>
    <t>VEN-2110</t>
  </si>
  <si>
    <t>2026-05-27</t>
  </si>
  <si>
    <t>VEN-2111</t>
  </si>
  <si>
    <t>2026-07-26</t>
  </si>
  <si>
    <t>VEN-2112</t>
  </si>
  <si>
    <t>2026-02-28</t>
  </si>
  <si>
    <t>VEN-2113</t>
  </si>
  <si>
    <t>2026-01-24</t>
  </si>
  <si>
    <t>VEN-2114</t>
  </si>
  <si>
    <t>2026-02-09</t>
  </si>
  <si>
    <t>VEN-2115</t>
  </si>
  <si>
    <t>2026-03-06</t>
  </si>
  <si>
    <t>VEN-2116</t>
  </si>
  <si>
    <t>VEN-2117</t>
  </si>
  <si>
    <t>VEN-2118</t>
  </si>
  <si>
    <t>2026-01-02</t>
  </si>
  <si>
    <t>VEN-2119</t>
  </si>
  <si>
    <t>2026-04-02</t>
  </si>
  <si>
    <t>VEN-2120</t>
  </si>
  <si>
    <t>VEN-2121</t>
  </si>
  <si>
    <t>2026-01-08</t>
  </si>
  <si>
    <t>VEN-2122</t>
  </si>
  <si>
    <t>2026-04-23</t>
  </si>
  <si>
    <t>VEN-2123</t>
  </si>
  <si>
    <t>2026-04-12</t>
  </si>
  <si>
    <t>VEN-2124</t>
  </si>
  <si>
    <t>2026-01-22</t>
  </si>
  <si>
    <t>VEN-2125</t>
  </si>
  <si>
    <t>2026-02-02</t>
  </si>
  <si>
    <t>VEN-2126</t>
  </si>
  <si>
    <t>VEN-2127</t>
  </si>
  <si>
    <t>VEN-2128</t>
  </si>
  <si>
    <t>2026-04-16</t>
  </si>
  <si>
    <t>VEN-2129</t>
  </si>
  <si>
    <t>VEN-2130</t>
  </si>
  <si>
    <t>2026-07-31</t>
  </si>
  <si>
    <t>VEN-2131</t>
  </si>
  <si>
    <t>2026-01-31</t>
  </si>
  <si>
    <t>VEN-2132</t>
  </si>
  <si>
    <t>VEN-2133</t>
  </si>
  <si>
    <t>2026-04-27</t>
  </si>
  <si>
    <t>VEN-2134</t>
  </si>
  <si>
    <t>2026-08-07</t>
  </si>
  <si>
    <t>VEN-2135</t>
  </si>
  <si>
    <t>2026-05-29</t>
  </si>
  <si>
    <t>VEN-2136</t>
  </si>
  <si>
    <t>2026-03-30</t>
  </si>
  <si>
    <t>VEN-2137</t>
  </si>
  <si>
    <t>2026-03-19</t>
  </si>
  <si>
    <t>VEN-2138</t>
  </si>
  <si>
    <t>2026-05-15</t>
  </si>
  <si>
    <t>VEN-2139</t>
  </si>
  <si>
    <t>VEN-2140</t>
  </si>
  <si>
    <t>VEN-2141</t>
  </si>
  <si>
    <t>2026-01-16</t>
  </si>
  <si>
    <t>VEN-2142</t>
  </si>
  <si>
    <t>2026-08-10</t>
  </si>
  <si>
    <t>VEN-2143</t>
  </si>
  <si>
    <t>2026-01-15</t>
  </si>
  <si>
    <t>VEN-2144</t>
  </si>
  <si>
    <t>2026-02-03</t>
  </si>
  <si>
    <t>VEN-2145</t>
  </si>
  <si>
    <t>VEN-2146</t>
  </si>
  <si>
    <t>VEN-2147</t>
  </si>
  <si>
    <t>2026-05-22</t>
  </si>
  <si>
    <t>VEN-2148</t>
  </si>
  <si>
    <t>2026-06-07</t>
  </si>
  <si>
    <t>VEN-2149</t>
  </si>
  <si>
    <t>2026-02-16</t>
  </si>
  <si>
    <t>VEN-2150</t>
  </si>
  <si>
    <t>2026-02-11</t>
  </si>
  <si>
    <t>VEN-2151</t>
  </si>
  <si>
    <t>VEN-2152</t>
  </si>
  <si>
    <t>2026-01-11</t>
  </si>
  <si>
    <t>VEN-2153</t>
  </si>
  <si>
    <t>2026-06-06</t>
  </si>
  <si>
    <t>VEN-2154</t>
  </si>
  <si>
    <t>VEN-2155</t>
  </si>
  <si>
    <t>2026-07-24</t>
  </si>
  <si>
    <t>VEN-2156</t>
  </si>
  <si>
    <t>2026-02-20</t>
  </si>
  <si>
    <t>VEN-2157</t>
  </si>
  <si>
    <t>2026-07-22</t>
  </si>
  <si>
    <t>VEN-2158</t>
  </si>
  <si>
    <t>VEN-2159</t>
  </si>
  <si>
    <t>2026-02-22</t>
  </si>
  <si>
    <t>VEN-2160</t>
  </si>
  <si>
    <t>VEN-2161</t>
  </si>
  <si>
    <t>VEN-2162</t>
  </si>
  <si>
    <t>2026-05-25</t>
  </si>
  <si>
    <t>VEN-2163</t>
  </si>
  <si>
    <t>VEN-2164</t>
  </si>
  <si>
    <t>VEN-2165</t>
  </si>
  <si>
    <t>2026-06-01</t>
  </si>
  <si>
    <t>VEN-2166</t>
  </si>
  <si>
    <t>VEN-2167</t>
  </si>
  <si>
    <t>2026-05-07</t>
  </si>
  <si>
    <t>VEN-2168</t>
  </si>
  <si>
    <t>2026-04-06</t>
  </si>
  <si>
    <t>VEN-2169</t>
  </si>
  <si>
    <t>VEN-2170</t>
  </si>
  <si>
    <t>VEN-2171</t>
  </si>
  <si>
    <t>2026-07-21</t>
  </si>
  <si>
    <t>VEN-2172</t>
  </si>
  <si>
    <t>VEN-2173</t>
  </si>
  <si>
    <t>2026-05-23</t>
  </si>
  <si>
    <t>VEN-2174</t>
  </si>
  <si>
    <t>2026-03-21</t>
  </si>
  <si>
    <t>VEN-2175</t>
  </si>
  <si>
    <t>VEN-2176</t>
  </si>
  <si>
    <t>VEN-2177</t>
  </si>
  <si>
    <t>2026-05-24</t>
  </si>
  <si>
    <t>VEN-2178</t>
  </si>
  <si>
    <t>2026-01-09</t>
  </si>
  <si>
    <t>VEN-2179</t>
  </si>
  <si>
    <t>VEN-2180</t>
  </si>
  <si>
    <t>VEN-2181</t>
  </si>
  <si>
    <t>2026-01-17</t>
  </si>
  <si>
    <t>VEN-2182</t>
  </si>
  <si>
    <t>VEN-2183</t>
  </si>
  <si>
    <t>2026-07-20</t>
  </si>
  <si>
    <t>VEN-2184</t>
  </si>
  <si>
    <t>2026-02-01</t>
  </si>
  <si>
    <t>VEN-2185</t>
  </si>
  <si>
    <t>VEN-2186</t>
  </si>
  <si>
    <t>2026-08-12</t>
  </si>
  <si>
    <t>VEN-2187</t>
  </si>
  <si>
    <t>2026-08-15</t>
  </si>
  <si>
    <t>VEN-2188</t>
  </si>
  <si>
    <t>2026-02-14</t>
  </si>
  <si>
    <t>VEN-2189</t>
  </si>
  <si>
    <t>VEN-2190</t>
  </si>
  <si>
    <t>VEN-2191</t>
  </si>
  <si>
    <t>2026-06-28</t>
  </si>
  <si>
    <t>VEN-2192</t>
  </si>
  <si>
    <t>2026-02-17</t>
  </si>
  <si>
    <t>VEN-2193</t>
  </si>
  <si>
    <t>2026-03-26</t>
  </si>
  <si>
    <t>VEN-2194</t>
  </si>
  <si>
    <t>VEN-2195</t>
  </si>
  <si>
    <t>VEN-2196</t>
  </si>
  <si>
    <t>VEN-2197</t>
  </si>
  <si>
    <t>VEN-2198</t>
  </si>
  <si>
    <t>VEN-2199</t>
  </si>
  <si>
    <t>VEN-2200</t>
  </si>
  <si>
    <t>2026-01-25</t>
  </si>
  <si>
    <t>VEN-2201</t>
  </si>
  <si>
    <t>2026-04-29</t>
  </si>
  <si>
    <t>VEN-2202</t>
  </si>
  <si>
    <t>VEN-2203</t>
  </si>
  <si>
    <t>VEN-2204</t>
  </si>
  <si>
    <t>VEN-2205</t>
  </si>
  <si>
    <t>VEN-2206</t>
  </si>
  <si>
    <t>VEN-2207</t>
  </si>
  <si>
    <t>VEN-2208</t>
  </si>
  <si>
    <t>2026-06-14</t>
  </si>
  <si>
    <t>VEN-2209</t>
  </si>
  <si>
    <t>VEN-2210</t>
  </si>
  <si>
    <t>VEN-2211</t>
  </si>
  <si>
    <t>2026-02-18</t>
  </si>
  <si>
    <t>VEN-2212</t>
  </si>
  <si>
    <t>2026-05-09</t>
  </si>
  <si>
    <t>VEN-2213</t>
  </si>
  <si>
    <t>VEN-2214</t>
  </si>
  <si>
    <t>VEN-2215</t>
  </si>
  <si>
    <t>2026-07-13</t>
  </si>
  <si>
    <t>VEN-2216</t>
  </si>
  <si>
    <t>2026-04-04</t>
  </si>
  <si>
    <t>VEN-2217</t>
  </si>
  <si>
    <t>2026-06-02</t>
  </si>
  <si>
    <t>VEN-2218</t>
  </si>
  <si>
    <t>VEN-2219</t>
  </si>
  <si>
    <t>VEN-2220</t>
  </si>
  <si>
    <t>VEN-2221</t>
  </si>
  <si>
    <t>VEN-2222</t>
  </si>
  <si>
    <t>2026-04-28</t>
  </si>
  <si>
    <t>VEN-2223</t>
  </si>
  <si>
    <t>VEN-2224</t>
  </si>
  <si>
    <t>2026-04-20</t>
  </si>
  <si>
    <t>VEN-2225</t>
  </si>
  <si>
    <t>2026-05-16</t>
  </si>
  <si>
    <t>VEN-2226</t>
  </si>
  <si>
    <t>2026-02-07</t>
  </si>
  <si>
    <t>VEN-2227</t>
  </si>
  <si>
    <t>VEN-2228</t>
  </si>
  <si>
    <t>VEN-2229</t>
  </si>
  <si>
    <t>2026-01-13</t>
  </si>
  <si>
    <t>VEN-2230</t>
  </si>
  <si>
    <t>VEN-2231</t>
  </si>
  <si>
    <t>VEN-2232</t>
  </si>
  <si>
    <t>VEN-2233</t>
  </si>
  <si>
    <t>VEN-2234</t>
  </si>
  <si>
    <t>VEN-2235</t>
  </si>
  <si>
    <t>VEN-2236</t>
  </si>
  <si>
    <t>2026-07-01</t>
  </si>
  <si>
    <t>VEN-2237</t>
  </si>
  <si>
    <t>2026-01-18</t>
  </si>
  <si>
    <t>VEN-2238</t>
  </si>
  <si>
    <t>VEN-2239</t>
  </si>
  <si>
    <t>2026-06-09</t>
  </si>
  <si>
    <t>VEN-2240</t>
  </si>
  <si>
    <t>2026-04-09</t>
  </si>
  <si>
    <t>VEN-2241</t>
  </si>
  <si>
    <t>VEN-2242</t>
  </si>
  <si>
    <t>2026-08-06</t>
  </si>
  <si>
    <t>VEN-2243</t>
  </si>
  <si>
    <t>VEN-2244</t>
  </si>
  <si>
    <t>2026-01-12</t>
  </si>
  <si>
    <t>VEN-2245</t>
  </si>
  <si>
    <t>VEN-2246</t>
  </si>
  <si>
    <t>VEN-2247</t>
  </si>
  <si>
    <t>VEN-2248</t>
  </si>
  <si>
    <t>VEN-2249</t>
  </si>
  <si>
    <t>VEN-2250</t>
  </si>
  <si>
    <t>Precio_Lista</t>
  </si>
  <si>
    <t>Laptop Pro 15</t>
  </si>
  <si>
    <t>Tecnología</t>
  </si>
  <si>
    <t>Monitor 4K 27"</t>
  </si>
  <si>
    <t>Teclado Mecánico RGB</t>
  </si>
  <si>
    <t>Accesorios</t>
  </si>
  <si>
    <t>Mouse Inalámbrico Pro</t>
  </si>
  <si>
    <t>Silla Ergonómica</t>
  </si>
  <si>
    <t>Mobiliario</t>
  </si>
  <si>
    <t>Escritorio Elevable</t>
  </si>
  <si>
    <t>Audífonos Noise Cancelling</t>
  </si>
  <si>
    <t>Audio</t>
  </si>
  <si>
    <t>Micrófono USB Studio</t>
  </si>
  <si>
    <t>canales</t>
  </si>
  <si>
    <t>Descuento %</t>
  </si>
  <si>
    <t>venta neta</t>
  </si>
  <si>
    <t>N° Transacciones</t>
  </si>
  <si>
    <t>Etiquetas de fila</t>
  </si>
  <si>
    <t>Total general</t>
  </si>
  <si>
    <t>Suma de Total_Neto</t>
  </si>
  <si>
    <t>Porcentajes</t>
  </si>
  <si>
    <t>Total general%</t>
  </si>
  <si>
    <t>canales de distribución más rentable en términos de venta neta</t>
  </si>
  <si>
    <t>Fuga de ingresos</t>
  </si>
  <si>
    <t>Suma de Total_Neto%</t>
  </si>
  <si>
    <t>impacto de los descuentos sobre la facturación final de cada canal</t>
  </si>
  <si>
    <t>(Todas)</t>
  </si>
  <si>
    <t>Suma de Fuga de ingresos</t>
  </si>
  <si>
    <t>Suma de Fuga de ingresos%</t>
  </si>
  <si>
    <t>Variación de ventas netas según ubicación geografica</t>
  </si>
  <si>
    <t xml:space="preserve">Kpi interactivo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</si>
</sst>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.0_-;\-&quot;$&quot;\ * #,##0.0_-;_-&quot;$&quot;\ * &quot;-&quot;??_-;_-@_-"/>
    <numFmt numFmtId="167" formatCode="_-&quot;$&quot;\ * #,##0_-;\-&quot;$&quot;\ * #,##0_-;_-&quot;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6" fontId="0" fillId="0" borderId="0" xfId="1" applyNumberFormat="1" applyFont="1"/>
    <xf numFmtId="167" fontId="0" fillId="0" borderId="0" xfId="1" applyNumberFormat="1" applyFont="1"/>
    <xf numFmtId="9" fontId="0" fillId="0" borderId="0" xfId="0" applyNumberFormat="1"/>
    <xf numFmtId="0" fontId="0" fillId="0" borderId="2" xfId="0" applyBorder="1"/>
    <xf numFmtId="9" fontId="0" fillId="0" borderId="2" xfId="0" applyNumberFormat="1" applyBorder="1"/>
    <xf numFmtId="167" fontId="0" fillId="0" borderId="2" xfId="1" applyNumberFormat="1" applyFont="1" applyBorder="1"/>
    <xf numFmtId="0" fontId="0" fillId="3" borderId="2" xfId="0" applyFill="1" applyBorder="1"/>
    <xf numFmtId="0" fontId="0" fillId="0" borderId="3" xfId="0" applyBorder="1"/>
    <xf numFmtId="0" fontId="0" fillId="0" borderId="2" xfId="0" pivotButton="1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164" fontId="0" fillId="0" borderId="0" xfId="0" applyNumberFormat="1"/>
    <xf numFmtId="9" fontId="0" fillId="0" borderId="2" xfId="2" applyFont="1" applyBorder="1"/>
    <xf numFmtId="0" fontId="0" fillId="4" borderId="2" xfId="0" applyFill="1" applyBorder="1"/>
    <xf numFmtId="164" fontId="0" fillId="4" borderId="2" xfId="0" applyNumberFormat="1" applyFill="1" applyBorder="1"/>
    <xf numFmtId="9" fontId="4" fillId="4" borderId="2" xfId="0" applyNumberFormat="1" applyFont="1" applyFill="1" applyBorder="1"/>
    <xf numFmtId="9" fontId="0" fillId="0" borderId="0" xfId="2" applyFont="1" applyFill="1" applyBorder="1"/>
    <xf numFmtId="0" fontId="6" fillId="2" borderId="0" xfId="0" applyFont="1" applyFill="1" applyAlignment="1">
      <alignment horizontal="center" vertical="center"/>
    </xf>
    <xf numFmtId="165" fontId="4" fillId="0" borderId="0" xfId="0" applyNumberFormat="1" applyFont="1"/>
    <xf numFmtId="9" fontId="4" fillId="0" borderId="0" xfId="0" applyNumberFormat="1" applyFont="1"/>
    <xf numFmtId="10" fontId="0" fillId="0" borderId="2" xfId="0" applyNumberFormat="1" applyBorder="1"/>
    <xf numFmtId="0" fontId="4" fillId="4" borderId="2" xfId="0" applyFont="1" applyFill="1" applyBorder="1"/>
    <xf numFmtId="0" fontId="0" fillId="4" borderId="2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4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#,##0"/>
    </dxf>
    <dxf>
      <numFmt numFmtId="14" formatCode="0.00%"/>
    </dxf>
    <dxf>
      <numFmt numFmtId="164" formatCode="\$#,##0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[ventas_ecommerce_laboratorio (1).xlsx]Tablas Dinamicas!TablaDinámica1</c:name>
    <c:fmtId val="3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Dinamicas'!$C$6</c:f>
              <c:strCache>
                <c:ptCount val="1"/>
                <c:pt idx="0">
                  <c:v>Suma de Total_Neto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Dinamicas'!$B$7:$B$11</c:f>
              <c:strCache>
                <c:ptCount val="4"/>
                <c:pt idx="0">
                  <c:v>Sitio Web</c:v>
                </c:pt>
                <c:pt idx="1">
                  <c:v>App Móvil</c:v>
                </c:pt>
                <c:pt idx="2">
                  <c:v>Tienda Física</c:v>
                </c:pt>
                <c:pt idx="3">
                  <c:v>Distribuidor</c:v>
                </c:pt>
              </c:strCache>
            </c:strRef>
          </c:cat>
          <c:val>
            <c:numRef>
              <c:f>'Tablas Dinamicas'!$C$7:$C$11</c:f>
              <c:numCache>
                <c:formatCode>\$#,##0</c:formatCode>
                <c:ptCount val="4"/>
                <c:pt idx="0">
                  <c:v>54280.25</c:v>
                </c:pt>
                <c:pt idx="1">
                  <c:v>65014.75</c:v>
                </c:pt>
                <c:pt idx="2">
                  <c:v>84800.75</c:v>
                </c:pt>
                <c:pt idx="3">
                  <c:v>111985.25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0-42D5-A491-003B3AA9824C}"/>
            </c:ext>
          </c:extLst>
        </c:ser>
        <c:ser>
          <c:idx val="1"/>
          <c:order val="1"/>
          <c:tx>
            <c:strRef>
              <c:f>'Tablas Dinamicas'!$D$6</c:f>
              <c:strCache>
                <c:ptCount val="1"/>
                <c:pt idx="0">
                  <c:v>Suma de Total_Neto%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Dinamicas'!$B$7:$B$11</c:f>
              <c:strCache>
                <c:ptCount val="4"/>
                <c:pt idx="0">
                  <c:v>Sitio Web</c:v>
                </c:pt>
                <c:pt idx="1">
                  <c:v>App Móvil</c:v>
                </c:pt>
                <c:pt idx="2">
                  <c:v>Tienda Física</c:v>
                </c:pt>
                <c:pt idx="3">
                  <c:v>Distribuidor</c:v>
                </c:pt>
              </c:strCache>
            </c:strRef>
          </c:cat>
          <c:val>
            <c:numRef>
              <c:f>'Tablas Dinamicas'!$D$7:$D$11</c:f>
              <c:numCache>
                <c:formatCode>0.00%</c:formatCode>
                <c:ptCount val="4"/>
                <c:pt idx="0">
                  <c:v>0.17172892391507241</c:v>
                </c:pt>
                <c:pt idx="1">
                  <c:v>0.20569015537156615</c:v>
                </c:pt>
                <c:pt idx="2">
                  <c:v>0.26828803376349736</c:v>
                </c:pt>
                <c:pt idx="3">
                  <c:v>0.35429288694986411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DF-47FE-BFD4-2645DE3A4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021103"/>
        <c:axId val="836666623"/>
      </c:barChart>
      <c:catAx>
        <c:axId val="8340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6666623"/>
        <c:crosses val="autoZero"/>
        <c:auto val="1"/>
        <c:lblAlgn val="ctr"/>
        <c:lblOffset val="100"/>
        <c:noMultiLvlLbl val="0"/>
      </c:catAx>
      <c:valAx>
        <c:axId val="8366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4021103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>
            <a:schemeClr val="accent1">
              <a:alpha val="40000"/>
            </a:schemeClr>
          </a:glow>
          <a:outerShdw blurRad="50800" dist="50800" dir="5400000" algn="ctr" rotWithShape="0">
            <a:srgbClr val="000000">
              <a:alpha val="0"/>
            </a:srgbClr>
          </a:outerShdw>
          <a:softEdge rad="0"/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[ventas_ecommerce_laboratorio (1).xlsx]Tablas Dinamicas!TablaDinámica2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'Tablas Dinamicas'!$C$21</c:f>
              <c:strCache>
                <c:ptCount val="1"/>
                <c:pt idx="0">
                  <c:v>Suma de Fuga de 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Dinamicas'!$B$22:$B$26</c:f>
              <c:strCache>
                <c:ptCount val="4"/>
                <c:pt idx="0">
                  <c:v>Sitio Web</c:v>
                </c:pt>
                <c:pt idx="1">
                  <c:v>App Móvil</c:v>
                </c:pt>
                <c:pt idx="2">
                  <c:v>Tienda Física</c:v>
                </c:pt>
                <c:pt idx="3">
                  <c:v>Distribuidor</c:v>
                </c:pt>
              </c:strCache>
            </c:strRef>
          </c:cat>
          <c:val>
            <c:numRef>
              <c:f>'Tablas Dinamicas'!$C$22:$C$26</c:f>
              <c:numCache>
                <c:formatCode>\$#,##0</c:formatCode>
                <c:ptCount val="4"/>
                <c:pt idx="0">
                  <c:v>704.75</c:v>
                </c:pt>
                <c:pt idx="1">
                  <c:v>2825.25</c:v>
                </c:pt>
                <c:pt idx="2">
                  <c:v>3794.25</c:v>
                </c:pt>
                <c:pt idx="3">
                  <c:v>5194.75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14-4BCB-A42A-4CD2066CD42B}"/>
            </c:ext>
          </c:extLst>
        </c:ser>
        <c:ser>
          <c:idx val="1"/>
          <c:order val="1"/>
          <c:tx>
            <c:strRef>
              <c:f>'Tablas Dinamicas'!$D$21</c:f>
              <c:strCache>
                <c:ptCount val="1"/>
                <c:pt idx="0">
                  <c:v>Suma de Fuga de ingresos%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Dinamicas'!$B$22:$B$26</c:f>
              <c:strCache>
                <c:ptCount val="4"/>
                <c:pt idx="0">
                  <c:v>Sitio Web</c:v>
                </c:pt>
                <c:pt idx="1">
                  <c:v>App Móvil</c:v>
                </c:pt>
                <c:pt idx="2">
                  <c:v>Tienda Física</c:v>
                </c:pt>
                <c:pt idx="3">
                  <c:v>Distribuidor</c:v>
                </c:pt>
              </c:strCache>
            </c:strRef>
          </c:cat>
          <c:val>
            <c:numRef>
              <c:f>'Tablas Dinamicas'!$D$22:$D$26</c:f>
              <c:numCache>
                <c:formatCode>0.00%</c:formatCode>
                <c:ptCount val="4"/>
                <c:pt idx="0">
                  <c:v>5.6294432462656759E-2</c:v>
                </c:pt>
                <c:pt idx="1">
                  <c:v>0.2256769710040738</c:v>
                </c:pt>
                <c:pt idx="2">
                  <c:v>0.30307931943445965</c:v>
                </c:pt>
                <c:pt idx="3">
                  <c:v>0.4149492770988098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14-4BCB-A42A-4CD2066CD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2846576"/>
        <c:axId val="422863376"/>
        <c:axId val="0"/>
      </c:bar3DChart>
      <c:catAx>
        <c:axId val="42284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2863376"/>
        <c:crosses val="autoZero"/>
        <c:auto val="1"/>
        <c:lblAlgn val="ctr"/>
        <c:lblOffset val="100"/>
        <c:noMultiLvlLbl val="0"/>
      </c:catAx>
      <c:valAx>
        <c:axId val="4228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284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[ventas_ecommerce_laboratorio (1).xlsx]Tablas Dinamicas!TablaDinámica3</c:name>
    <c:fmtId val="4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Dinamicas'!$C$36:$C$37</c:f>
              <c:strCache>
                <c:ptCount val="1"/>
                <c:pt idx="0">
                  <c:v>Sitio Web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Dinamicas'!$B$38:$B$44</c:f>
              <c:strCache>
                <c:ptCount val="6"/>
                <c:pt idx="0">
                  <c:v>Barranquilla</c:v>
                </c:pt>
                <c:pt idx="1">
                  <c:v>Bogotá</c:v>
                </c:pt>
                <c:pt idx="2">
                  <c:v>Cali</c:v>
                </c:pt>
                <c:pt idx="3">
                  <c:v>Medellín</c:v>
                </c:pt>
                <c:pt idx="4">
                  <c:v>Pasto</c:v>
                </c:pt>
                <c:pt idx="5">
                  <c:v>Bucaramanga</c:v>
                </c:pt>
              </c:strCache>
            </c:strRef>
          </c:cat>
          <c:val>
            <c:numRef>
              <c:f>'Tablas Dinamicas'!$C$38:$C$44</c:f>
              <c:numCache>
                <c:formatCode>\$#,##0</c:formatCode>
                <c:ptCount val="6"/>
                <c:pt idx="0">
                  <c:v>9015</c:v>
                </c:pt>
                <c:pt idx="1">
                  <c:v>7890.5</c:v>
                </c:pt>
                <c:pt idx="2">
                  <c:v>7365</c:v>
                </c:pt>
                <c:pt idx="3">
                  <c:v>9695</c:v>
                </c:pt>
                <c:pt idx="4">
                  <c:v>7851</c:v>
                </c:pt>
                <c:pt idx="5">
                  <c:v>12463.75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D-43B1-80A1-02987075EFF5}"/>
            </c:ext>
          </c:extLst>
        </c:ser>
        <c:ser>
          <c:idx val="1"/>
          <c:order val="1"/>
          <c:tx>
            <c:strRef>
              <c:f>'Tablas Dinamicas'!$D$36:$D$37</c:f>
              <c:strCache>
                <c:ptCount val="1"/>
                <c:pt idx="0">
                  <c:v>App Móvil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Dinamicas'!$B$38:$B$44</c:f>
              <c:strCache>
                <c:ptCount val="6"/>
                <c:pt idx="0">
                  <c:v>Barranquilla</c:v>
                </c:pt>
                <c:pt idx="1">
                  <c:v>Bogotá</c:v>
                </c:pt>
                <c:pt idx="2">
                  <c:v>Cali</c:v>
                </c:pt>
                <c:pt idx="3">
                  <c:v>Medellín</c:v>
                </c:pt>
                <c:pt idx="4">
                  <c:v>Pasto</c:v>
                </c:pt>
                <c:pt idx="5">
                  <c:v>Bucaramanga</c:v>
                </c:pt>
              </c:strCache>
            </c:strRef>
          </c:cat>
          <c:val>
            <c:numRef>
              <c:f>'Tablas Dinamicas'!$D$38:$D$44</c:f>
              <c:numCache>
                <c:formatCode>\$#,##0</c:formatCode>
                <c:ptCount val="6"/>
                <c:pt idx="0">
                  <c:v>8694</c:v>
                </c:pt>
                <c:pt idx="1">
                  <c:v>4490</c:v>
                </c:pt>
                <c:pt idx="2">
                  <c:v>14352.25</c:v>
                </c:pt>
                <c:pt idx="3">
                  <c:v>13869</c:v>
                </c:pt>
                <c:pt idx="4">
                  <c:v>8704</c:v>
                </c:pt>
                <c:pt idx="5">
                  <c:v>14905.5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D-43B1-80A1-02987075EFF5}"/>
            </c:ext>
          </c:extLst>
        </c:ser>
        <c:ser>
          <c:idx val="2"/>
          <c:order val="2"/>
          <c:tx>
            <c:strRef>
              <c:f>'Tablas Dinamicas'!$E$36:$E$37</c:f>
              <c:strCache>
                <c:ptCount val="1"/>
                <c:pt idx="0">
                  <c:v>Tienda Física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Dinamicas'!$B$38:$B$44</c:f>
              <c:strCache>
                <c:ptCount val="6"/>
                <c:pt idx="0">
                  <c:v>Barranquilla</c:v>
                </c:pt>
                <c:pt idx="1">
                  <c:v>Bogotá</c:v>
                </c:pt>
                <c:pt idx="2">
                  <c:v>Cali</c:v>
                </c:pt>
                <c:pt idx="3">
                  <c:v>Medellín</c:v>
                </c:pt>
                <c:pt idx="4">
                  <c:v>Pasto</c:v>
                </c:pt>
                <c:pt idx="5">
                  <c:v>Bucaramanga</c:v>
                </c:pt>
              </c:strCache>
            </c:strRef>
          </c:cat>
          <c:val>
            <c:numRef>
              <c:f>'Tablas Dinamicas'!$E$38:$E$44</c:f>
              <c:numCache>
                <c:formatCode>\$#,##0</c:formatCode>
                <c:ptCount val="6"/>
                <c:pt idx="0">
                  <c:v>10120</c:v>
                </c:pt>
                <c:pt idx="1">
                  <c:v>13669.25</c:v>
                </c:pt>
                <c:pt idx="2">
                  <c:v>11970.5</c:v>
                </c:pt>
                <c:pt idx="3">
                  <c:v>17720.5</c:v>
                </c:pt>
                <c:pt idx="4">
                  <c:v>2446.75</c:v>
                </c:pt>
                <c:pt idx="5">
                  <c:v>28873.75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1D-43B1-80A1-02987075EFF5}"/>
            </c:ext>
          </c:extLst>
        </c:ser>
        <c:ser>
          <c:idx val="3"/>
          <c:order val="3"/>
          <c:tx>
            <c:strRef>
              <c:f>'Tablas Dinamicas'!$F$36:$F$37</c:f>
              <c:strCache>
                <c:ptCount val="1"/>
                <c:pt idx="0">
                  <c:v>Distribuidor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Dinamicas'!$B$38:$B$44</c:f>
              <c:strCache>
                <c:ptCount val="6"/>
                <c:pt idx="0">
                  <c:v>Barranquilla</c:v>
                </c:pt>
                <c:pt idx="1">
                  <c:v>Bogotá</c:v>
                </c:pt>
                <c:pt idx="2">
                  <c:v>Cali</c:v>
                </c:pt>
                <c:pt idx="3">
                  <c:v>Medellín</c:v>
                </c:pt>
                <c:pt idx="4">
                  <c:v>Pasto</c:v>
                </c:pt>
                <c:pt idx="5">
                  <c:v>Bucaramanga</c:v>
                </c:pt>
              </c:strCache>
            </c:strRef>
          </c:cat>
          <c:val>
            <c:numRef>
              <c:f>'Tablas Dinamicas'!$F$38:$F$44</c:f>
              <c:numCache>
                <c:formatCode>\$#,##0</c:formatCode>
                <c:ptCount val="6"/>
                <c:pt idx="0">
                  <c:v>13881.25</c:v>
                </c:pt>
                <c:pt idx="1">
                  <c:v>17426</c:v>
                </c:pt>
                <c:pt idx="2">
                  <c:v>16916.75</c:v>
                </c:pt>
                <c:pt idx="3">
                  <c:v>9437.25</c:v>
                </c:pt>
                <c:pt idx="4">
                  <c:v>32569</c:v>
                </c:pt>
                <c:pt idx="5">
                  <c:v>21755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1D-43B1-80A1-02987075E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513296"/>
        <c:axId val="91498896"/>
      </c:barChart>
      <c:catAx>
        <c:axId val="9151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498896"/>
        <c:crosses val="autoZero"/>
        <c:auto val="1"/>
        <c:lblAlgn val="ctr"/>
        <c:lblOffset val="100"/>
        <c:noMultiLvlLbl val="0"/>
      </c:catAx>
      <c:valAx>
        <c:axId val="9149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51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723901</xdr:colOff>
      <xdr:row>4</xdr:row>
      <xdr:rowOff>161926</xdr:rowOff>
    </xdr:from>
    <xdr:to>
      <xdr:col>7</xdr:col>
      <xdr:colOff>105858</xdr:colOff>
      <xdr:row>12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nal_Venta">
              <a:extLst>
                <a:ext uri="{FF2B5EF4-FFF2-40B4-BE49-F238E27FC236}">
                  <a16:creationId xmlns:a16="http://schemas.microsoft.com/office/drawing/2014/main" id="{90599824-D1AD-210D-70FB-F5C82E5AEB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62651" y="978355"/>
              <a:ext cx="1817636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4762</xdr:colOff>
      <xdr:row>3</xdr:row>
      <xdr:rowOff>2</xdr:rowOff>
    </xdr:from>
    <xdr:to>
      <xdr:col>10</xdr:col>
      <xdr:colOff>1000125</xdr:colOff>
      <xdr:row>14</xdr:row>
      <xdr:rowOff>161925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4FEFA1D-A3DE-3185-4F28-E0EB9A26F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502226</xdr:colOff>
      <xdr:row>18</xdr:row>
      <xdr:rowOff>148072</xdr:rowOff>
    </xdr:from>
    <xdr:to>
      <xdr:col>6</xdr:col>
      <xdr:colOff>727363</xdr:colOff>
      <xdr:row>27</xdr:row>
      <xdr:rowOff>77933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nal_Venta 1">
              <a:extLst>
                <a:ext uri="{FF2B5EF4-FFF2-40B4-BE49-F238E27FC236}">
                  <a16:creationId xmlns:a16="http://schemas.microsoft.com/office/drawing/2014/main" id="{F4941C89-2F53-49E6-AE1D-090C32A84D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9863" y="3749305"/>
              <a:ext cx="1816986" cy="1691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923926</xdr:colOff>
      <xdr:row>17</xdr:row>
      <xdr:rowOff>104776</xdr:rowOff>
    </xdr:from>
    <xdr:to>
      <xdr:col>11</xdr:col>
      <xdr:colOff>1209675</xdr:colOff>
      <xdr:row>30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86673B-71CE-680A-EF9C-29679808A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50222</xdr:colOff>
      <xdr:row>18</xdr:row>
      <xdr:rowOff>128155</xdr:rowOff>
    </xdr:from>
    <xdr:to>
      <xdr:col>8</xdr:col>
      <xdr:colOff>535130</xdr:colOff>
      <xdr:row>27</xdr:row>
      <xdr:rowOff>41564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escuento_%">
              <a:extLst>
                <a:ext uri="{FF2B5EF4-FFF2-40B4-BE49-F238E27FC236}">
                  <a16:creationId xmlns:a16="http://schemas.microsoft.com/office/drawing/2014/main" id="{57ACF5DA-B772-B90E-6E28-518C5F4A8E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uento_%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04777" y="3729388"/>
              <a:ext cx="1907134" cy="16748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1600198</xdr:colOff>
      <xdr:row>33</xdr:row>
      <xdr:rowOff>57149</xdr:rowOff>
    </xdr:from>
    <xdr:to>
      <xdr:col>20</xdr:col>
      <xdr:colOff>190499</xdr:colOff>
      <xdr:row>47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2CE572C-F816-377E-97C1-B75298938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959427</xdr:colOff>
      <xdr:row>35</xdr:row>
      <xdr:rowOff>108239</xdr:rowOff>
    </xdr:from>
    <xdr:to>
      <xdr:col>10</xdr:col>
      <xdr:colOff>1444335</xdr:colOff>
      <xdr:row>44</xdr:row>
      <xdr:rowOff>21648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Descuento_% 1">
              <a:extLst>
                <a:ext uri="{FF2B5EF4-FFF2-40B4-BE49-F238E27FC236}">
                  <a16:creationId xmlns:a16="http://schemas.microsoft.com/office/drawing/2014/main" id="{403A0BDD-41B7-4EDC-95DC-6080F33D98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uento_%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7954" y="7075842"/>
              <a:ext cx="1907134" cy="16748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219075</xdr:colOff>
      <xdr:row>35</xdr:row>
      <xdr:rowOff>142875</xdr:rowOff>
    </xdr:from>
    <xdr:to>
      <xdr:col>9</xdr:col>
      <xdr:colOff>857250</xdr:colOff>
      <xdr:row>43</xdr:row>
      <xdr:rowOff>104774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iudad">
              <a:extLst>
                <a:ext uri="{FF2B5EF4-FFF2-40B4-BE49-F238E27FC236}">
                  <a16:creationId xmlns:a16="http://schemas.microsoft.com/office/drawing/2014/main" id="{D517FDDE-2C6B-0806-3767-C0B63AA770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95856" y="7110478"/>
              <a:ext cx="1929921" cy="15276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" refreshedDate="46254.816757754626" createdVersion="8" refreshedVersion="8" minRefreshableVersion="3" recordCount="250" xr:uid="{B3F0276A-5770-44AB-8359-BBC119C04113}">
  <cacheSource type="worksheet">
    <worksheetSource ref="A1:M251" sheet="Ventas_2026"/>
  </cacheSource>
  <cacheFields count="13">
    <cacheField name="ID_Venta" numFmtId="0">
      <sharedItems/>
    </cacheField>
    <cacheField name="Fecha" numFmtId="0">
      <sharedItems/>
    </cacheField>
    <cacheField name="Ciudad" numFmtId="0">
      <sharedItems count="6">
        <s v="Bucaramanga"/>
        <s v="Bogotá"/>
        <s v="Pasto"/>
        <s v="Barranquilla"/>
        <s v="Medellín"/>
        <s v="Cali"/>
      </sharedItems>
    </cacheField>
    <cacheField name="Canal_Venta" numFmtId="0">
      <sharedItems count="4">
        <s v="Distribuidor"/>
        <s v="Sitio Web"/>
        <s v="Tienda Física"/>
        <s v="App Móvil"/>
      </sharedItems>
    </cacheField>
    <cacheField name="SKU" numFmtId="0">
      <sharedItems/>
    </cacheField>
    <cacheField name="Cantidad" numFmtId="3">
      <sharedItems containsSemiMixedTypes="0" containsString="0" containsNumber="1" containsInteger="1" minValue="1" maxValue="7"/>
    </cacheField>
    <cacheField name="Descuento_%" numFmtId="165">
      <sharedItems containsSemiMixedTypes="0" containsString="0" containsNumber="1" minValue="0" maxValue="0.15" count="4">
        <n v="0.05"/>
        <n v="0.1"/>
        <n v="0"/>
        <n v="0.15"/>
      </sharedItems>
    </cacheField>
    <cacheField name="Producto" numFmtId="0">
      <sharedItems/>
    </cacheField>
    <cacheField name="Categoría" numFmtId="0">
      <sharedItems/>
    </cacheField>
    <cacheField name="Precio_Unitario" numFmtId="164">
      <sharedItems containsSemiMixedTypes="0" containsString="0" containsNumber="1" containsInteger="1" minValue="45" maxValue="1200"/>
    </cacheField>
    <cacheField name="Total_Bruto" numFmtId="164">
      <sharedItems containsSemiMixedTypes="0" containsString="0" containsNumber="1" containsInteger="1" minValue="45" maxValue="8400"/>
    </cacheField>
    <cacheField name="Total_Neto" numFmtId="164">
      <sharedItems containsSemiMixedTypes="0" containsString="0" containsNumber="1" minValue="40.5" maxValue="7980"/>
    </cacheField>
    <cacheField name="Fuga de ingresos" numFmtId="164">
      <sharedItems containsSemiMixedTypes="0" containsString="0" containsNumber="1" minValue="0" maxValue="1260"/>
    </cacheField>
  </cacheFields>
  <extLst>
    <ext xmlns:x14="http://schemas.microsoft.com/office/spreadsheetml/2009/9/main" uri="{725AE2AE-9491-48be-B2B4-4EB974FC3084}">
      <x14:pivotCacheDefinition pivotCacheId="19956731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VEN-2001"/>
    <s v="2026-03-05"/>
    <x v="0"/>
    <x v="0"/>
    <s v="PROD-108"/>
    <n v="4"/>
    <x v="0"/>
    <s v="Micrófono USB Studio"/>
    <s v="Audio"/>
    <n v="130"/>
    <n v="520"/>
    <n v="494"/>
    <n v="26"/>
  </r>
  <r>
    <s v="VEN-2002"/>
    <s v="2026-05-13"/>
    <x v="1"/>
    <x v="1"/>
    <s v="PROD-108"/>
    <n v="2"/>
    <x v="1"/>
    <s v="Micrófono USB Studio"/>
    <s v="Audio"/>
    <n v="130"/>
    <n v="260"/>
    <n v="234"/>
    <n v="26"/>
  </r>
  <r>
    <s v="VEN-2003"/>
    <s v="2026-01-06"/>
    <x v="2"/>
    <x v="1"/>
    <s v="PROD-105"/>
    <n v="5"/>
    <x v="2"/>
    <s v="Silla Ergonómica"/>
    <s v="Mobiliario"/>
    <n v="280"/>
    <n v="1400"/>
    <n v="1400"/>
    <n v="0"/>
  </r>
  <r>
    <s v="VEN-2004"/>
    <s v="2026-05-17"/>
    <x v="3"/>
    <x v="1"/>
    <s v="PROD-101"/>
    <n v="2"/>
    <x v="2"/>
    <s v="Laptop Pro 15"/>
    <s v="Tecnología"/>
    <n v="1200"/>
    <n v="2400"/>
    <n v="2400"/>
    <n v="0"/>
  </r>
  <r>
    <s v="VEN-2005"/>
    <s v="2026-03-14"/>
    <x v="4"/>
    <x v="0"/>
    <s v="PROD-104"/>
    <n v="4"/>
    <x v="1"/>
    <s v="Mouse Inalámbrico Pro"/>
    <s v="Accesorios"/>
    <n v="45"/>
    <n v="180"/>
    <n v="162"/>
    <n v="18"/>
  </r>
  <r>
    <s v="VEN-2006"/>
    <s v="2026-04-18"/>
    <x v="1"/>
    <x v="1"/>
    <s v="PROD-107"/>
    <n v="3"/>
    <x v="0"/>
    <s v="Audífonos Noise Cancelling"/>
    <s v="Audio"/>
    <n v="190"/>
    <n v="570"/>
    <n v="541.5"/>
    <n v="28.5"/>
  </r>
  <r>
    <s v="VEN-2007"/>
    <s v="2026-03-04"/>
    <x v="2"/>
    <x v="0"/>
    <s v="PROD-108"/>
    <n v="2"/>
    <x v="2"/>
    <s v="Micrófono USB Studio"/>
    <s v="Audio"/>
    <n v="130"/>
    <n v="260"/>
    <n v="260"/>
    <n v="0"/>
  </r>
  <r>
    <s v="VEN-2008"/>
    <s v="2026-05-19"/>
    <x v="2"/>
    <x v="2"/>
    <s v="PROD-104"/>
    <n v="5"/>
    <x v="2"/>
    <s v="Mouse Inalámbrico Pro"/>
    <s v="Accesorios"/>
    <n v="45"/>
    <n v="225"/>
    <n v="225"/>
    <n v="0"/>
  </r>
  <r>
    <s v="VEN-2009"/>
    <s v="2026-06-30"/>
    <x v="5"/>
    <x v="0"/>
    <s v="PROD-108"/>
    <n v="7"/>
    <x v="1"/>
    <s v="Micrófono USB Studio"/>
    <s v="Audio"/>
    <n v="130"/>
    <n v="910"/>
    <n v="819"/>
    <n v="91"/>
  </r>
  <r>
    <s v="VEN-2010"/>
    <s v="2026-04-17"/>
    <x v="2"/>
    <x v="1"/>
    <s v="PROD-108"/>
    <n v="5"/>
    <x v="0"/>
    <s v="Micrófono USB Studio"/>
    <s v="Audio"/>
    <n v="130"/>
    <n v="650"/>
    <n v="617.5"/>
    <n v="32.5"/>
  </r>
  <r>
    <s v="VEN-2011"/>
    <s v="2026-04-08"/>
    <x v="0"/>
    <x v="2"/>
    <s v="PROD-101"/>
    <n v="4"/>
    <x v="3"/>
    <s v="Laptop Pro 15"/>
    <s v="Tecnología"/>
    <n v="1200"/>
    <n v="4800"/>
    <n v="4080"/>
    <n v="720"/>
  </r>
  <r>
    <s v="VEN-2012"/>
    <s v="2026-06-13"/>
    <x v="5"/>
    <x v="0"/>
    <s v="PROD-105"/>
    <n v="5"/>
    <x v="2"/>
    <s v="Silla Ergonómica"/>
    <s v="Mobiliario"/>
    <n v="280"/>
    <n v="1400"/>
    <n v="1400"/>
    <n v="0"/>
  </r>
  <r>
    <s v="VEN-2013"/>
    <s v="2026-03-28"/>
    <x v="5"/>
    <x v="3"/>
    <s v="PROD-105"/>
    <n v="5"/>
    <x v="2"/>
    <s v="Silla Ergonómica"/>
    <s v="Mobiliario"/>
    <n v="280"/>
    <n v="1400"/>
    <n v="1400"/>
    <n v="0"/>
  </r>
  <r>
    <s v="VEN-2014"/>
    <s v="2026-08-03"/>
    <x v="4"/>
    <x v="1"/>
    <s v="PROD-104"/>
    <n v="7"/>
    <x v="2"/>
    <s v="Mouse Inalámbrico Pro"/>
    <s v="Accesorios"/>
    <n v="45"/>
    <n v="315"/>
    <n v="315"/>
    <n v="0"/>
  </r>
  <r>
    <s v="VEN-2015"/>
    <s v="2026-04-03"/>
    <x v="3"/>
    <x v="0"/>
    <s v="PROD-106"/>
    <n v="3"/>
    <x v="2"/>
    <s v="Escritorio Elevable"/>
    <s v="Mobiliario"/>
    <n v="420"/>
    <n v="1260"/>
    <n v="1260"/>
    <n v="0"/>
  </r>
  <r>
    <s v="VEN-2016"/>
    <s v="2026-01-29"/>
    <x v="3"/>
    <x v="0"/>
    <s v="PROD-103"/>
    <n v="2"/>
    <x v="2"/>
    <s v="Teclado Mecánico RGB"/>
    <s v="Accesorios"/>
    <n v="85"/>
    <n v="170"/>
    <n v="170"/>
    <n v="0"/>
  </r>
  <r>
    <s v="VEN-2017"/>
    <s v="2026-07-08"/>
    <x v="0"/>
    <x v="2"/>
    <s v="PROD-105"/>
    <n v="7"/>
    <x v="2"/>
    <s v="Silla Ergonómica"/>
    <s v="Mobiliario"/>
    <n v="280"/>
    <n v="1960"/>
    <n v="1960"/>
    <n v="0"/>
  </r>
  <r>
    <s v="VEN-2018"/>
    <s v="2026-04-21"/>
    <x v="0"/>
    <x v="2"/>
    <s v="PROD-104"/>
    <n v="7"/>
    <x v="0"/>
    <s v="Mouse Inalámbrico Pro"/>
    <s v="Accesorios"/>
    <n v="45"/>
    <n v="315"/>
    <n v="299.25"/>
    <n v="15.75"/>
  </r>
  <r>
    <s v="VEN-2019"/>
    <s v="2026-07-15"/>
    <x v="5"/>
    <x v="1"/>
    <s v="PROD-105"/>
    <n v="4"/>
    <x v="2"/>
    <s v="Silla Ergonómica"/>
    <s v="Mobiliario"/>
    <n v="280"/>
    <n v="1120"/>
    <n v="1120"/>
    <n v="0"/>
  </r>
  <r>
    <s v="VEN-2020"/>
    <s v="2026-01-30"/>
    <x v="0"/>
    <x v="3"/>
    <s v="PROD-106"/>
    <n v="7"/>
    <x v="0"/>
    <s v="Escritorio Elevable"/>
    <s v="Mobiliario"/>
    <n v="420"/>
    <n v="2940"/>
    <n v="2793"/>
    <n v="147"/>
  </r>
  <r>
    <s v="VEN-2021"/>
    <s v="2026-05-08"/>
    <x v="2"/>
    <x v="0"/>
    <s v="PROD-106"/>
    <n v="2"/>
    <x v="0"/>
    <s v="Escritorio Elevable"/>
    <s v="Mobiliario"/>
    <n v="420"/>
    <n v="840"/>
    <n v="798"/>
    <n v="42"/>
  </r>
  <r>
    <s v="VEN-2022"/>
    <s v="2026-02-19"/>
    <x v="4"/>
    <x v="0"/>
    <s v="PROD-105"/>
    <n v="4"/>
    <x v="2"/>
    <s v="Silla Ergonómica"/>
    <s v="Mobiliario"/>
    <n v="280"/>
    <n v="1120"/>
    <n v="1120"/>
    <n v="0"/>
  </r>
  <r>
    <s v="VEN-2023"/>
    <s v="2026-07-04"/>
    <x v="4"/>
    <x v="0"/>
    <s v="PROD-103"/>
    <n v="6"/>
    <x v="3"/>
    <s v="Teclado Mecánico RGB"/>
    <s v="Accesorios"/>
    <n v="85"/>
    <n v="510"/>
    <n v="433.5"/>
    <n v="76.5"/>
  </r>
  <r>
    <s v="VEN-2024"/>
    <s v="2026-06-27"/>
    <x v="1"/>
    <x v="2"/>
    <s v="PROD-105"/>
    <n v="6"/>
    <x v="3"/>
    <s v="Silla Ergonómica"/>
    <s v="Mobiliario"/>
    <n v="280"/>
    <n v="1680"/>
    <n v="1428"/>
    <n v="252"/>
  </r>
  <r>
    <s v="VEN-2025"/>
    <s v="2026-04-25"/>
    <x v="0"/>
    <x v="2"/>
    <s v="PROD-101"/>
    <n v="5"/>
    <x v="0"/>
    <s v="Laptop Pro 15"/>
    <s v="Tecnología"/>
    <n v="1200"/>
    <n v="6000"/>
    <n v="5700"/>
    <n v="300"/>
  </r>
  <r>
    <s v="VEN-2026"/>
    <s v="2026-02-15"/>
    <x v="4"/>
    <x v="2"/>
    <s v="PROD-106"/>
    <n v="4"/>
    <x v="0"/>
    <s v="Escritorio Elevable"/>
    <s v="Mobiliario"/>
    <n v="420"/>
    <n v="1680"/>
    <n v="1596"/>
    <n v="84"/>
  </r>
  <r>
    <s v="VEN-2027"/>
    <s v="2026-05-06"/>
    <x v="2"/>
    <x v="0"/>
    <s v="PROD-105"/>
    <n v="7"/>
    <x v="2"/>
    <s v="Silla Ergonómica"/>
    <s v="Mobiliario"/>
    <n v="280"/>
    <n v="1960"/>
    <n v="1960"/>
    <n v="0"/>
  </r>
  <r>
    <s v="VEN-2028"/>
    <s v="2026-07-16"/>
    <x v="2"/>
    <x v="1"/>
    <s v="PROD-104"/>
    <n v="2"/>
    <x v="0"/>
    <s v="Mouse Inalámbrico Pro"/>
    <s v="Accesorios"/>
    <n v="45"/>
    <n v="90"/>
    <n v="85.5"/>
    <n v="4.5"/>
  </r>
  <r>
    <s v="VEN-2029"/>
    <s v="2026-05-26"/>
    <x v="2"/>
    <x v="2"/>
    <s v="PROD-103"/>
    <n v="4"/>
    <x v="2"/>
    <s v="Teclado Mecánico RGB"/>
    <s v="Accesorios"/>
    <n v="85"/>
    <n v="340"/>
    <n v="340"/>
    <n v="0"/>
  </r>
  <r>
    <s v="VEN-2030"/>
    <s v="2026-04-17"/>
    <x v="1"/>
    <x v="0"/>
    <s v="PROD-107"/>
    <n v="5"/>
    <x v="1"/>
    <s v="Audífonos Noise Cancelling"/>
    <s v="Audio"/>
    <n v="190"/>
    <n v="950"/>
    <n v="855"/>
    <n v="95"/>
  </r>
  <r>
    <s v="VEN-2031"/>
    <s v="2026-07-05"/>
    <x v="0"/>
    <x v="3"/>
    <s v="PROD-103"/>
    <n v="4"/>
    <x v="0"/>
    <s v="Teclado Mecánico RGB"/>
    <s v="Accesorios"/>
    <n v="85"/>
    <n v="340"/>
    <n v="323"/>
    <n v="17"/>
  </r>
  <r>
    <s v="VEN-2032"/>
    <s v="2026-05-26"/>
    <x v="4"/>
    <x v="1"/>
    <s v="PROD-105"/>
    <n v="3"/>
    <x v="2"/>
    <s v="Silla Ergonómica"/>
    <s v="Mobiliario"/>
    <n v="280"/>
    <n v="840"/>
    <n v="840"/>
    <n v="0"/>
  </r>
  <r>
    <s v="VEN-2033"/>
    <s v="2026-03-08"/>
    <x v="1"/>
    <x v="0"/>
    <s v="PROD-102"/>
    <n v="3"/>
    <x v="2"/>
    <s v="Monitor 4K 27&quot;"/>
    <s v="Tecnología"/>
    <n v="350"/>
    <n v="1050"/>
    <n v="1050"/>
    <n v="0"/>
  </r>
  <r>
    <s v="VEN-2034"/>
    <s v="2026-02-12"/>
    <x v="4"/>
    <x v="2"/>
    <s v="PROD-102"/>
    <n v="6"/>
    <x v="2"/>
    <s v="Monitor 4K 27&quot;"/>
    <s v="Tecnología"/>
    <n v="350"/>
    <n v="2100"/>
    <n v="2100"/>
    <n v="0"/>
  </r>
  <r>
    <s v="VEN-2035"/>
    <s v="2026-04-08"/>
    <x v="3"/>
    <x v="2"/>
    <s v="PROD-101"/>
    <n v="5"/>
    <x v="2"/>
    <s v="Laptop Pro 15"/>
    <s v="Tecnología"/>
    <n v="1200"/>
    <n v="6000"/>
    <n v="6000"/>
    <n v="0"/>
  </r>
  <r>
    <s v="VEN-2036"/>
    <s v="2026-03-05"/>
    <x v="1"/>
    <x v="0"/>
    <s v="PROD-101"/>
    <n v="6"/>
    <x v="2"/>
    <s v="Laptop Pro 15"/>
    <s v="Tecnología"/>
    <n v="1200"/>
    <n v="7200"/>
    <n v="7200"/>
    <n v="0"/>
  </r>
  <r>
    <s v="VEN-2037"/>
    <s v="2026-04-14"/>
    <x v="2"/>
    <x v="0"/>
    <s v="PROD-101"/>
    <n v="7"/>
    <x v="3"/>
    <s v="Laptop Pro 15"/>
    <s v="Tecnología"/>
    <n v="1200"/>
    <n v="8400"/>
    <n v="7140"/>
    <n v="1260"/>
  </r>
  <r>
    <s v="VEN-2038"/>
    <s v="2026-03-18"/>
    <x v="4"/>
    <x v="0"/>
    <s v="PROD-102"/>
    <n v="4"/>
    <x v="2"/>
    <s v="Monitor 4K 27&quot;"/>
    <s v="Tecnología"/>
    <n v="350"/>
    <n v="1400"/>
    <n v="1400"/>
    <n v="0"/>
  </r>
  <r>
    <s v="VEN-2039"/>
    <s v="2026-03-08"/>
    <x v="5"/>
    <x v="3"/>
    <s v="PROD-103"/>
    <n v="7"/>
    <x v="2"/>
    <s v="Teclado Mecánico RGB"/>
    <s v="Accesorios"/>
    <n v="85"/>
    <n v="595"/>
    <n v="595"/>
    <n v="0"/>
  </r>
  <r>
    <s v="VEN-2040"/>
    <s v="2026-02-05"/>
    <x v="5"/>
    <x v="0"/>
    <s v="PROD-102"/>
    <n v="3"/>
    <x v="2"/>
    <s v="Monitor 4K 27&quot;"/>
    <s v="Tecnología"/>
    <n v="350"/>
    <n v="1050"/>
    <n v="1050"/>
    <n v="0"/>
  </r>
  <r>
    <s v="VEN-2041"/>
    <s v="2026-06-27"/>
    <x v="0"/>
    <x v="0"/>
    <s v="PROD-106"/>
    <n v="5"/>
    <x v="0"/>
    <s v="Escritorio Elevable"/>
    <s v="Mobiliario"/>
    <n v="420"/>
    <n v="2100"/>
    <n v="1995"/>
    <n v="105"/>
  </r>
  <r>
    <s v="VEN-2042"/>
    <s v="2026-04-10"/>
    <x v="1"/>
    <x v="3"/>
    <s v="PROD-108"/>
    <n v="2"/>
    <x v="2"/>
    <s v="Micrófono USB Studio"/>
    <s v="Audio"/>
    <n v="130"/>
    <n v="260"/>
    <n v="260"/>
    <n v="0"/>
  </r>
  <r>
    <s v="VEN-2043"/>
    <s v="2026-05-26"/>
    <x v="0"/>
    <x v="0"/>
    <s v="PROD-101"/>
    <n v="7"/>
    <x v="1"/>
    <s v="Laptop Pro 15"/>
    <s v="Tecnología"/>
    <n v="1200"/>
    <n v="8400"/>
    <n v="7560"/>
    <n v="840"/>
  </r>
  <r>
    <s v="VEN-2044"/>
    <s v="2026-03-25"/>
    <x v="5"/>
    <x v="0"/>
    <s v="PROD-105"/>
    <n v="2"/>
    <x v="2"/>
    <s v="Silla Ergonómica"/>
    <s v="Mobiliario"/>
    <n v="280"/>
    <n v="560"/>
    <n v="560"/>
    <n v="0"/>
  </r>
  <r>
    <s v="VEN-2045"/>
    <s v="2026-03-18"/>
    <x v="4"/>
    <x v="0"/>
    <s v="PROD-104"/>
    <n v="5"/>
    <x v="0"/>
    <s v="Mouse Inalámbrico Pro"/>
    <s v="Accesorios"/>
    <n v="45"/>
    <n v="225"/>
    <n v="213.75"/>
    <n v="11.25"/>
  </r>
  <r>
    <s v="VEN-2046"/>
    <s v="2026-03-01"/>
    <x v="5"/>
    <x v="3"/>
    <s v="PROD-105"/>
    <n v="6"/>
    <x v="2"/>
    <s v="Silla Ergonómica"/>
    <s v="Mobiliario"/>
    <n v="280"/>
    <n v="1680"/>
    <n v="1680"/>
    <n v="0"/>
  </r>
  <r>
    <s v="VEN-2047"/>
    <s v="2026-01-26"/>
    <x v="2"/>
    <x v="3"/>
    <s v="PROD-106"/>
    <n v="4"/>
    <x v="2"/>
    <s v="Escritorio Elevable"/>
    <s v="Mobiliario"/>
    <n v="420"/>
    <n v="1680"/>
    <n v="1680"/>
    <n v="0"/>
  </r>
  <r>
    <s v="VEN-2048"/>
    <s v="2026-01-21"/>
    <x v="5"/>
    <x v="3"/>
    <s v="PROD-104"/>
    <n v="2"/>
    <x v="2"/>
    <s v="Mouse Inalámbrico Pro"/>
    <s v="Accesorios"/>
    <n v="45"/>
    <n v="90"/>
    <n v="90"/>
    <n v="0"/>
  </r>
  <r>
    <s v="VEN-2049"/>
    <s v="2026-01-28"/>
    <x v="4"/>
    <x v="0"/>
    <s v="PROD-104"/>
    <n v="7"/>
    <x v="2"/>
    <s v="Mouse Inalámbrico Pro"/>
    <s v="Accesorios"/>
    <n v="45"/>
    <n v="315"/>
    <n v="315"/>
    <n v="0"/>
  </r>
  <r>
    <s v="VEN-2050"/>
    <s v="2026-07-05"/>
    <x v="0"/>
    <x v="1"/>
    <s v="PROD-102"/>
    <n v="7"/>
    <x v="2"/>
    <s v="Monitor 4K 27&quot;"/>
    <s v="Tecnología"/>
    <n v="350"/>
    <n v="2450"/>
    <n v="2450"/>
    <n v="0"/>
  </r>
  <r>
    <s v="VEN-2051"/>
    <s v="2026-03-02"/>
    <x v="3"/>
    <x v="1"/>
    <s v="PROD-107"/>
    <n v="7"/>
    <x v="2"/>
    <s v="Audífonos Noise Cancelling"/>
    <s v="Audio"/>
    <n v="190"/>
    <n v="1330"/>
    <n v="1330"/>
    <n v="0"/>
  </r>
  <r>
    <s v="VEN-2052"/>
    <s v="2026-05-05"/>
    <x v="1"/>
    <x v="0"/>
    <s v="PROD-106"/>
    <n v="5"/>
    <x v="0"/>
    <s v="Escritorio Elevable"/>
    <s v="Mobiliario"/>
    <n v="420"/>
    <n v="2100"/>
    <n v="1995"/>
    <n v="105"/>
  </r>
  <r>
    <s v="VEN-2053"/>
    <s v="2026-04-01"/>
    <x v="1"/>
    <x v="2"/>
    <s v="PROD-107"/>
    <n v="1"/>
    <x v="2"/>
    <s v="Audífonos Noise Cancelling"/>
    <s v="Audio"/>
    <n v="190"/>
    <n v="190"/>
    <n v="190"/>
    <n v="0"/>
  </r>
  <r>
    <s v="VEN-2054"/>
    <s v="2026-04-07"/>
    <x v="1"/>
    <x v="3"/>
    <s v="PROD-102"/>
    <n v="7"/>
    <x v="2"/>
    <s v="Monitor 4K 27&quot;"/>
    <s v="Tecnología"/>
    <n v="350"/>
    <n v="2450"/>
    <n v="2450"/>
    <n v="0"/>
  </r>
  <r>
    <s v="VEN-2055"/>
    <s v="2026-03-29"/>
    <x v="1"/>
    <x v="1"/>
    <s v="PROD-108"/>
    <n v="2"/>
    <x v="0"/>
    <s v="Micrófono USB Studio"/>
    <s v="Audio"/>
    <n v="130"/>
    <n v="260"/>
    <n v="247"/>
    <n v="13"/>
  </r>
  <r>
    <s v="VEN-2056"/>
    <s v="2026-05-31"/>
    <x v="1"/>
    <x v="0"/>
    <s v="PROD-105"/>
    <n v="1"/>
    <x v="2"/>
    <s v="Silla Ergonómica"/>
    <s v="Mobiliario"/>
    <n v="280"/>
    <n v="280"/>
    <n v="280"/>
    <n v="0"/>
  </r>
  <r>
    <s v="VEN-2057"/>
    <s v="2026-08-04"/>
    <x v="5"/>
    <x v="0"/>
    <s v="PROD-105"/>
    <n v="7"/>
    <x v="1"/>
    <s v="Silla Ergonómica"/>
    <s v="Mobiliario"/>
    <n v="280"/>
    <n v="1960"/>
    <n v="1764"/>
    <n v="196"/>
  </r>
  <r>
    <s v="VEN-2058"/>
    <s v="2026-07-10"/>
    <x v="1"/>
    <x v="2"/>
    <s v="PROD-108"/>
    <n v="2"/>
    <x v="2"/>
    <s v="Micrófono USB Studio"/>
    <s v="Audio"/>
    <n v="130"/>
    <n v="260"/>
    <n v="260"/>
    <n v="0"/>
  </r>
  <r>
    <s v="VEN-2059"/>
    <s v="2026-07-16"/>
    <x v="0"/>
    <x v="1"/>
    <s v="PROD-106"/>
    <n v="4"/>
    <x v="2"/>
    <s v="Escritorio Elevable"/>
    <s v="Mobiliario"/>
    <n v="420"/>
    <n v="1680"/>
    <n v="1680"/>
    <n v="0"/>
  </r>
  <r>
    <s v="VEN-2060"/>
    <s v="2026-04-24"/>
    <x v="4"/>
    <x v="3"/>
    <s v="PROD-104"/>
    <n v="5"/>
    <x v="2"/>
    <s v="Mouse Inalámbrico Pro"/>
    <s v="Accesorios"/>
    <n v="45"/>
    <n v="225"/>
    <n v="225"/>
    <n v="0"/>
  </r>
  <r>
    <s v="VEN-2061"/>
    <s v="2026-06-03"/>
    <x v="4"/>
    <x v="2"/>
    <s v="PROD-107"/>
    <n v="2"/>
    <x v="0"/>
    <s v="Audífonos Noise Cancelling"/>
    <s v="Audio"/>
    <n v="190"/>
    <n v="380"/>
    <n v="361"/>
    <n v="19"/>
  </r>
  <r>
    <s v="VEN-2062"/>
    <s v="2026-05-03"/>
    <x v="4"/>
    <x v="0"/>
    <s v="PROD-102"/>
    <n v="5"/>
    <x v="2"/>
    <s v="Monitor 4K 27&quot;"/>
    <s v="Tecnología"/>
    <n v="350"/>
    <n v="1750"/>
    <n v="1750"/>
    <n v="0"/>
  </r>
  <r>
    <s v="VEN-2063"/>
    <s v="2026-01-14"/>
    <x v="2"/>
    <x v="3"/>
    <s v="PROD-103"/>
    <n v="1"/>
    <x v="2"/>
    <s v="Teclado Mecánico RGB"/>
    <s v="Accesorios"/>
    <n v="85"/>
    <n v="85"/>
    <n v="85"/>
    <n v="0"/>
  </r>
  <r>
    <s v="VEN-2064"/>
    <s v="2026-03-24"/>
    <x v="5"/>
    <x v="2"/>
    <s v="PROD-107"/>
    <n v="1"/>
    <x v="0"/>
    <s v="Audífonos Noise Cancelling"/>
    <s v="Audio"/>
    <n v="190"/>
    <n v="190"/>
    <n v="180.5"/>
    <n v="9.5"/>
  </r>
  <r>
    <s v="VEN-2065"/>
    <s v="2026-06-04"/>
    <x v="2"/>
    <x v="0"/>
    <s v="PROD-106"/>
    <n v="7"/>
    <x v="2"/>
    <s v="Escritorio Elevable"/>
    <s v="Mobiliario"/>
    <n v="420"/>
    <n v="2940"/>
    <n v="2940"/>
    <n v="0"/>
  </r>
  <r>
    <s v="VEN-2066"/>
    <s v="2026-03-01"/>
    <x v="1"/>
    <x v="2"/>
    <s v="PROD-104"/>
    <n v="4"/>
    <x v="0"/>
    <s v="Mouse Inalámbrico Pro"/>
    <s v="Accesorios"/>
    <n v="45"/>
    <n v="180"/>
    <n v="171"/>
    <n v="9"/>
  </r>
  <r>
    <s v="VEN-2067"/>
    <s v="2026-02-19"/>
    <x v="5"/>
    <x v="3"/>
    <s v="PROD-102"/>
    <n v="5"/>
    <x v="2"/>
    <s v="Monitor 4K 27&quot;"/>
    <s v="Tecnología"/>
    <n v="350"/>
    <n v="1750"/>
    <n v="1750"/>
    <n v="0"/>
  </r>
  <r>
    <s v="VEN-2068"/>
    <s v="2026-03-15"/>
    <x v="0"/>
    <x v="1"/>
    <s v="PROD-106"/>
    <n v="1"/>
    <x v="3"/>
    <s v="Escritorio Elevable"/>
    <s v="Mobiliario"/>
    <n v="420"/>
    <n v="420"/>
    <n v="357"/>
    <n v="63"/>
  </r>
  <r>
    <s v="VEN-2069"/>
    <s v="2026-02-10"/>
    <x v="5"/>
    <x v="0"/>
    <s v="PROD-108"/>
    <n v="1"/>
    <x v="1"/>
    <s v="Micrófono USB Studio"/>
    <s v="Audio"/>
    <n v="130"/>
    <n v="130"/>
    <n v="117"/>
    <n v="13"/>
  </r>
  <r>
    <s v="VEN-2070"/>
    <s v="2026-08-14"/>
    <x v="4"/>
    <x v="2"/>
    <s v="PROD-106"/>
    <n v="7"/>
    <x v="0"/>
    <s v="Escritorio Elevable"/>
    <s v="Mobiliario"/>
    <n v="420"/>
    <n v="2940"/>
    <n v="2793"/>
    <n v="147"/>
  </r>
  <r>
    <s v="VEN-2071"/>
    <s v="2026-01-04"/>
    <x v="4"/>
    <x v="0"/>
    <s v="PROD-104"/>
    <n v="4"/>
    <x v="2"/>
    <s v="Mouse Inalámbrico Pro"/>
    <s v="Accesorios"/>
    <n v="45"/>
    <n v="180"/>
    <n v="180"/>
    <n v="0"/>
  </r>
  <r>
    <s v="VEN-2072"/>
    <s v="2026-03-11"/>
    <x v="2"/>
    <x v="1"/>
    <s v="PROD-101"/>
    <n v="1"/>
    <x v="1"/>
    <s v="Laptop Pro 15"/>
    <s v="Tecnología"/>
    <n v="1200"/>
    <n v="1200"/>
    <n v="1080"/>
    <n v="120"/>
  </r>
  <r>
    <s v="VEN-2073"/>
    <s v="2026-02-27"/>
    <x v="4"/>
    <x v="1"/>
    <s v="PROD-105"/>
    <n v="5"/>
    <x v="2"/>
    <s v="Silla Ergonómica"/>
    <s v="Mobiliario"/>
    <n v="280"/>
    <n v="1400"/>
    <n v="1400"/>
    <n v="0"/>
  </r>
  <r>
    <s v="VEN-2074"/>
    <s v="2026-02-15"/>
    <x v="0"/>
    <x v="3"/>
    <s v="PROD-102"/>
    <n v="4"/>
    <x v="2"/>
    <s v="Monitor 4K 27&quot;"/>
    <s v="Tecnología"/>
    <n v="350"/>
    <n v="1400"/>
    <n v="1400"/>
    <n v="0"/>
  </r>
  <r>
    <s v="VEN-2075"/>
    <s v="2026-05-17"/>
    <x v="3"/>
    <x v="2"/>
    <s v="PROD-108"/>
    <n v="3"/>
    <x v="0"/>
    <s v="Micrófono USB Studio"/>
    <s v="Audio"/>
    <n v="130"/>
    <n v="390"/>
    <n v="370.5"/>
    <n v="19.5"/>
  </r>
  <r>
    <s v="VEN-2076"/>
    <s v="2026-04-26"/>
    <x v="0"/>
    <x v="2"/>
    <s v="PROD-101"/>
    <n v="2"/>
    <x v="3"/>
    <s v="Laptop Pro 15"/>
    <s v="Tecnología"/>
    <n v="1200"/>
    <n v="2400"/>
    <n v="2040"/>
    <n v="360"/>
  </r>
  <r>
    <s v="VEN-2077"/>
    <s v="2026-06-20"/>
    <x v="5"/>
    <x v="1"/>
    <s v="PROD-108"/>
    <n v="4"/>
    <x v="2"/>
    <s v="Micrófono USB Studio"/>
    <s v="Audio"/>
    <n v="130"/>
    <n v="520"/>
    <n v="520"/>
    <n v="0"/>
  </r>
  <r>
    <s v="VEN-2078"/>
    <s v="2026-03-20"/>
    <x v="0"/>
    <x v="3"/>
    <s v="PROD-103"/>
    <n v="7"/>
    <x v="2"/>
    <s v="Teclado Mecánico RGB"/>
    <s v="Accesorios"/>
    <n v="85"/>
    <n v="595"/>
    <n v="595"/>
    <n v="0"/>
  </r>
  <r>
    <s v="VEN-2079"/>
    <s v="2026-06-16"/>
    <x v="5"/>
    <x v="3"/>
    <s v="PROD-107"/>
    <n v="4"/>
    <x v="3"/>
    <s v="Audífonos Noise Cancelling"/>
    <s v="Audio"/>
    <n v="190"/>
    <n v="760"/>
    <n v="646"/>
    <n v="114"/>
  </r>
  <r>
    <s v="VEN-2080"/>
    <s v="2026-03-07"/>
    <x v="0"/>
    <x v="3"/>
    <s v="PROD-105"/>
    <n v="1"/>
    <x v="1"/>
    <s v="Silla Ergonómica"/>
    <s v="Mobiliario"/>
    <n v="280"/>
    <n v="280"/>
    <n v="252"/>
    <n v="28"/>
  </r>
  <r>
    <s v="VEN-2081"/>
    <s v="2026-04-24"/>
    <x v="4"/>
    <x v="0"/>
    <s v="PROD-106"/>
    <n v="3"/>
    <x v="2"/>
    <s v="Escritorio Elevable"/>
    <s v="Mobiliario"/>
    <n v="420"/>
    <n v="1260"/>
    <n v="1260"/>
    <n v="0"/>
  </r>
  <r>
    <s v="VEN-2082"/>
    <s v="2026-02-15"/>
    <x v="5"/>
    <x v="0"/>
    <s v="PROD-102"/>
    <n v="7"/>
    <x v="1"/>
    <s v="Monitor 4K 27&quot;"/>
    <s v="Tecnología"/>
    <n v="350"/>
    <n v="2450"/>
    <n v="2205"/>
    <n v="245"/>
  </r>
  <r>
    <s v="VEN-2083"/>
    <s v="2026-03-12"/>
    <x v="4"/>
    <x v="0"/>
    <s v="PROD-102"/>
    <n v="5"/>
    <x v="0"/>
    <s v="Monitor 4K 27&quot;"/>
    <s v="Tecnología"/>
    <n v="350"/>
    <n v="1750"/>
    <n v="1662.5"/>
    <n v="87.5"/>
  </r>
  <r>
    <s v="VEN-2084"/>
    <s v="2026-06-19"/>
    <x v="5"/>
    <x v="0"/>
    <s v="PROD-105"/>
    <n v="1"/>
    <x v="3"/>
    <s v="Silla Ergonómica"/>
    <s v="Mobiliario"/>
    <n v="280"/>
    <n v="280"/>
    <n v="238"/>
    <n v="42"/>
  </r>
  <r>
    <s v="VEN-2085"/>
    <s v="2026-05-10"/>
    <x v="0"/>
    <x v="0"/>
    <s v="PROD-107"/>
    <n v="4"/>
    <x v="3"/>
    <s v="Audífonos Noise Cancelling"/>
    <s v="Audio"/>
    <n v="190"/>
    <n v="760"/>
    <n v="646"/>
    <n v="114"/>
  </r>
  <r>
    <s v="VEN-2086"/>
    <s v="2026-01-04"/>
    <x v="4"/>
    <x v="2"/>
    <s v="PROD-101"/>
    <n v="5"/>
    <x v="2"/>
    <s v="Laptop Pro 15"/>
    <s v="Tecnología"/>
    <n v="1200"/>
    <n v="6000"/>
    <n v="6000"/>
    <n v="0"/>
  </r>
  <r>
    <s v="VEN-2087"/>
    <s v="2026-03-03"/>
    <x v="5"/>
    <x v="0"/>
    <s v="PROD-108"/>
    <n v="7"/>
    <x v="2"/>
    <s v="Micrófono USB Studio"/>
    <s v="Audio"/>
    <n v="130"/>
    <n v="910"/>
    <n v="910"/>
    <n v="0"/>
  </r>
  <r>
    <s v="VEN-2088"/>
    <s v="2026-07-12"/>
    <x v="2"/>
    <x v="0"/>
    <s v="PROD-101"/>
    <n v="1"/>
    <x v="0"/>
    <s v="Laptop Pro 15"/>
    <s v="Tecnología"/>
    <n v="1200"/>
    <n v="1200"/>
    <n v="1140"/>
    <n v="60"/>
  </r>
  <r>
    <s v="VEN-2089"/>
    <s v="2026-06-16"/>
    <x v="0"/>
    <x v="0"/>
    <s v="PROD-104"/>
    <n v="1"/>
    <x v="1"/>
    <s v="Mouse Inalámbrico Pro"/>
    <s v="Accesorios"/>
    <n v="45"/>
    <n v="45"/>
    <n v="40.5"/>
    <n v="4.5"/>
  </r>
  <r>
    <s v="VEN-2090"/>
    <s v="2026-03-04"/>
    <x v="0"/>
    <x v="0"/>
    <s v="PROD-101"/>
    <n v="2"/>
    <x v="2"/>
    <s v="Laptop Pro 15"/>
    <s v="Tecnología"/>
    <n v="1200"/>
    <n v="2400"/>
    <n v="2400"/>
    <n v="0"/>
  </r>
  <r>
    <s v="VEN-2091"/>
    <s v="2026-05-11"/>
    <x v="4"/>
    <x v="3"/>
    <s v="PROD-102"/>
    <n v="5"/>
    <x v="0"/>
    <s v="Monitor 4K 27&quot;"/>
    <s v="Tecnología"/>
    <n v="350"/>
    <n v="1750"/>
    <n v="1662.5"/>
    <n v="87.5"/>
  </r>
  <r>
    <s v="VEN-2092"/>
    <s v="2026-04-08"/>
    <x v="3"/>
    <x v="2"/>
    <s v="PROD-107"/>
    <n v="7"/>
    <x v="2"/>
    <s v="Audífonos Noise Cancelling"/>
    <s v="Audio"/>
    <n v="190"/>
    <n v="1330"/>
    <n v="1330"/>
    <n v="0"/>
  </r>
  <r>
    <s v="VEN-2093"/>
    <s v="2026-01-01"/>
    <x v="2"/>
    <x v="2"/>
    <s v="PROD-107"/>
    <n v="5"/>
    <x v="3"/>
    <s v="Audífonos Noise Cancelling"/>
    <s v="Audio"/>
    <n v="190"/>
    <n v="950"/>
    <n v="807.5"/>
    <n v="142.5"/>
  </r>
  <r>
    <s v="VEN-2094"/>
    <s v="2026-06-22"/>
    <x v="4"/>
    <x v="2"/>
    <s v="PROD-103"/>
    <n v="3"/>
    <x v="0"/>
    <s v="Teclado Mecánico RGB"/>
    <s v="Accesorios"/>
    <n v="85"/>
    <n v="255"/>
    <n v="242.25"/>
    <n v="12.75"/>
  </r>
  <r>
    <s v="VEN-2095"/>
    <s v="2026-06-21"/>
    <x v="5"/>
    <x v="3"/>
    <s v="PROD-103"/>
    <n v="4"/>
    <x v="2"/>
    <s v="Teclado Mecánico RGB"/>
    <s v="Accesorios"/>
    <n v="85"/>
    <n v="340"/>
    <n v="340"/>
    <n v="0"/>
  </r>
  <r>
    <s v="VEN-2096"/>
    <s v="2026-05-31"/>
    <x v="3"/>
    <x v="3"/>
    <s v="PROD-102"/>
    <n v="6"/>
    <x v="0"/>
    <s v="Monitor 4K 27&quot;"/>
    <s v="Tecnología"/>
    <n v="350"/>
    <n v="2100"/>
    <n v="1995"/>
    <n v="105"/>
  </r>
  <r>
    <s v="VEN-2097"/>
    <s v="2026-05-12"/>
    <x v="2"/>
    <x v="0"/>
    <s v="PROD-107"/>
    <n v="5"/>
    <x v="2"/>
    <s v="Audífonos Noise Cancelling"/>
    <s v="Audio"/>
    <n v="190"/>
    <n v="950"/>
    <n v="950"/>
    <n v="0"/>
  </r>
  <r>
    <s v="VEN-2098"/>
    <s v="2026-07-30"/>
    <x v="1"/>
    <x v="3"/>
    <s v="PROD-102"/>
    <n v="3"/>
    <x v="2"/>
    <s v="Monitor 4K 27&quot;"/>
    <s v="Tecnología"/>
    <n v="350"/>
    <n v="1050"/>
    <n v="1050"/>
    <n v="0"/>
  </r>
  <r>
    <s v="VEN-2099"/>
    <s v="2026-08-04"/>
    <x v="1"/>
    <x v="1"/>
    <s v="PROD-102"/>
    <n v="5"/>
    <x v="2"/>
    <s v="Monitor 4K 27&quot;"/>
    <s v="Tecnología"/>
    <n v="350"/>
    <n v="1750"/>
    <n v="1750"/>
    <n v="0"/>
  </r>
  <r>
    <s v="VEN-2100"/>
    <s v="2026-05-05"/>
    <x v="1"/>
    <x v="2"/>
    <s v="PROD-107"/>
    <n v="1"/>
    <x v="1"/>
    <s v="Audífonos Noise Cancelling"/>
    <s v="Audio"/>
    <n v="190"/>
    <n v="190"/>
    <n v="171"/>
    <n v="19"/>
  </r>
  <r>
    <s v="VEN-2101"/>
    <s v="2026-03-25"/>
    <x v="5"/>
    <x v="1"/>
    <s v="PROD-107"/>
    <n v="6"/>
    <x v="0"/>
    <s v="Audífonos Noise Cancelling"/>
    <s v="Audio"/>
    <n v="190"/>
    <n v="1140"/>
    <n v="1083"/>
    <n v="57"/>
  </r>
  <r>
    <s v="VEN-2102"/>
    <s v="2026-04-19"/>
    <x v="0"/>
    <x v="1"/>
    <s v="PROD-105"/>
    <n v="7"/>
    <x v="0"/>
    <s v="Silla Ergonómica"/>
    <s v="Mobiliario"/>
    <n v="280"/>
    <n v="1960"/>
    <n v="1862"/>
    <n v="98"/>
  </r>
  <r>
    <s v="VEN-2103"/>
    <s v="2026-06-25"/>
    <x v="0"/>
    <x v="1"/>
    <s v="PROD-103"/>
    <n v="7"/>
    <x v="2"/>
    <s v="Teclado Mecánico RGB"/>
    <s v="Accesorios"/>
    <n v="85"/>
    <n v="595"/>
    <n v="595"/>
    <n v="0"/>
  </r>
  <r>
    <s v="VEN-2104"/>
    <s v="2026-03-12"/>
    <x v="0"/>
    <x v="3"/>
    <s v="PROD-101"/>
    <n v="1"/>
    <x v="2"/>
    <s v="Laptop Pro 15"/>
    <s v="Tecnología"/>
    <n v="1200"/>
    <n v="1200"/>
    <n v="1200"/>
    <n v="0"/>
  </r>
  <r>
    <s v="VEN-2105"/>
    <s v="2026-06-23"/>
    <x v="2"/>
    <x v="0"/>
    <s v="PROD-101"/>
    <n v="4"/>
    <x v="2"/>
    <s v="Laptop Pro 15"/>
    <s v="Tecnología"/>
    <n v="1200"/>
    <n v="4800"/>
    <n v="4800"/>
    <n v="0"/>
  </r>
  <r>
    <s v="VEN-2106"/>
    <s v="2026-06-17"/>
    <x v="3"/>
    <x v="1"/>
    <s v="PROD-106"/>
    <n v="3"/>
    <x v="2"/>
    <s v="Escritorio Elevable"/>
    <s v="Mobiliario"/>
    <n v="420"/>
    <n v="1260"/>
    <n v="1260"/>
    <n v="0"/>
  </r>
  <r>
    <s v="VEN-2107"/>
    <s v="2026-03-22"/>
    <x v="0"/>
    <x v="2"/>
    <s v="PROD-107"/>
    <n v="7"/>
    <x v="2"/>
    <s v="Audífonos Noise Cancelling"/>
    <s v="Audio"/>
    <n v="190"/>
    <n v="1330"/>
    <n v="1330"/>
    <n v="0"/>
  </r>
  <r>
    <s v="VEN-2108"/>
    <s v="2026-02-10"/>
    <x v="1"/>
    <x v="2"/>
    <s v="PROD-106"/>
    <n v="3"/>
    <x v="2"/>
    <s v="Escritorio Elevable"/>
    <s v="Mobiliario"/>
    <n v="420"/>
    <n v="1260"/>
    <n v="1260"/>
    <n v="0"/>
  </r>
  <r>
    <s v="VEN-2109"/>
    <s v="2026-06-16"/>
    <x v="0"/>
    <x v="2"/>
    <s v="PROD-107"/>
    <n v="4"/>
    <x v="2"/>
    <s v="Audífonos Noise Cancelling"/>
    <s v="Audio"/>
    <n v="190"/>
    <n v="760"/>
    <n v="760"/>
    <n v="0"/>
  </r>
  <r>
    <s v="VEN-2110"/>
    <s v="2026-05-27"/>
    <x v="0"/>
    <x v="2"/>
    <s v="PROD-105"/>
    <n v="2"/>
    <x v="3"/>
    <s v="Silla Ergonómica"/>
    <s v="Mobiliario"/>
    <n v="280"/>
    <n v="560"/>
    <n v="476"/>
    <n v="84"/>
  </r>
  <r>
    <s v="VEN-2111"/>
    <s v="2026-07-26"/>
    <x v="1"/>
    <x v="2"/>
    <s v="PROD-103"/>
    <n v="3"/>
    <x v="0"/>
    <s v="Teclado Mecánico RGB"/>
    <s v="Accesorios"/>
    <n v="85"/>
    <n v="255"/>
    <n v="242.25"/>
    <n v="12.75"/>
  </r>
  <r>
    <s v="VEN-2112"/>
    <s v="2026-02-28"/>
    <x v="2"/>
    <x v="3"/>
    <s v="PROD-107"/>
    <n v="6"/>
    <x v="0"/>
    <s v="Audífonos Noise Cancelling"/>
    <s v="Audio"/>
    <n v="190"/>
    <n v="1140"/>
    <n v="1083"/>
    <n v="57"/>
  </r>
  <r>
    <s v="VEN-2113"/>
    <s v="2026-01-24"/>
    <x v="0"/>
    <x v="1"/>
    <s v="PROD-105"/>
    <n v="3"/>
    <x v="1"/>
    <s v="Silla Ergonómica"/>
    <s v="Mobiliario"/>
    <n v="280"/>
    <n v="840"/>
    <n v="756"/>
    <n v="84"/>
  </r>
  <r>
    <s v="VEN-2114"/>
    <s v="2026-02-09"/>
    <x v="0"/>
    <x v="2"/>
    <s v="PROD-105"/>
    <n v="1"/>
    <x v="2"/>
    <s v="Silla Ergonómica"/>
    <s v="Mobiliario"/>
    <n v="280"/>
    <n v="280"/>
    <n v="280"/>
    <n v="0"/>
  </r>
  <r>
    <s v="VEN-2115"/>
    <s v="2026-03-06"/>
    <x v="3"/>
    <x v="1"/>
    <s v="PROD-102"/>
    <n v="4"/>
    <x v="2"/>
    <s v="Monitor 4K 27&quot;"/>
    <s v="Tecnología"/>
    <n v="350"/>
    <n v="1400"/>
    <n v="1400"/>
    <n v="0"/>
  </r>
  <r>
    <s v="VEN-2116"/>
    <s v="2026-03-18"/>
    <x v="4"/>
    <x v="2"/>
    <s v="PROD-103"/>
    <n v="7"/>
    <x v="0"/>
    <s v="Teclado Mecánico RGB"/>
    <s v="Accesorios"/>
    <n v="85"/>
    <n v="595"/>
    <n v="565.25"/>
    <n v="29.75"/>
  </r>
  <r>
    <s v="VEN-2117"/>
    <s v="2026-03-07"/>
    <x v="5"/>
    <x v="1"/>
    <s v="PROD-108"/>
    <n v="3"/>
    <x v="0"/>
    <s v="Micrófono USB Studio"/>
    <s v="Audio"/>
    <n v="130"/>
    <n v="390"/>
    <n v="370.5"/>
    <n v="19.5"/>
  </r>
  <r>
    <s v="VEN-2118"/>
    <s v="2026-01-02"/>
    <x v="0"/>
    <x v="0"/>
    <s v="PROD-106"/>
    <n v="5"/>
    <x v="0"/>
    <s v="Escritorio Elevable"/>
    <s v="Mobiliario"/>
    <n v="420"/>
    <n v="2100"/>
    <n v="1995"/>
    <n v="105"/>
  </r>
  <r>
    <s v="VEN-2119"/>
    <s v="2026-04-02"/>
    <x v="3"/>
    <x v="3"/>
    <s v="PROD-105"/>
    <n v="3"/>
    <x v="2"/>
    <s v="Silla Ergonómica"/>
    <s v="Mobiliario"/>
    <n v="280"/>
    <n v="840"/>
    <n v="840"/>
    <n v="0"/>
  </r>
  <r>
    <s v="VEN-2120"/>
    <s v="2026-01-14"/>
    <x v="5"/>
    <x v="2"/>
    <s v="PROD-105"/>
    <n v="1"/>
    <x v="2"/>
    <s v="Silla Ergonómica"/>
    <s v="Mobiliario"/>
    <n v="280"/>
    <n v="280"/>
    <n v="280"/>
    <n v="0"/>
  </r>
  <r>
    <s v="VEN-2121"/>
    <s v="2026-01-08"/>
    <x v="5"/>
    <x v="3"/>
    <s v="PROD-105"/>
    <n v="2"/>
    <x v="0"/>
    <s v="Silla Ergonómica"/>
    <s v="Mobiliario"/>
    <n v="280"/>
    <n v="560"/>
    <n v="532"/>
    <n v="28"/>
  </r>
  <r>
    <s v="VEN-2122"/>
    <s v="2026-04-23"/>
    <x v="4"/>
    <x v="2"/>
    <s v="PROD-104"/>
    <n v="4"/>
    <x v="2"/>
    <s v="Mouse Inalámbrico Pro"/>
    <s v="Accesorios"/>
    <n v="45"/>
    <n v="180"/>
    <n v="180"/>
    <n v="0"/>
  </r>
  <r>
    <s v="VEN-2123"/>
    <s v="2026-04-12"/>
    <x v="4"/>
    <x v="2"/>
    <s v="PROD-102"/>
    <n v="4"/>
    <x v="0"/>
    <s v="Monitor 4K 27&quot;"/>
    <s v="Tecnología"/>
    <n v="350"/>
    <n v="1400"/>
    <n v="1330"/>
    <n v="70"/>
  </r>
  <r>
    <s v="VEN-2124"/>
    <s v="2026-01-22"/>
    <x v="4"/>
    <x v="1"/>
    <s v="PROD-105"/>
    <n v="2"/>
    <x v="2"/>
    <s v="Silla Ergonómica"/>
    <s v="Mobiliario"/>
    <n v="280"/>
    <n v="560"/>
    <n v="560"/>
    <n v="0"/>
  </r>
  <r>
    <s v="VEN-2125"/>
    <s v="2026-02-02"/>
    <x v="0"/>
    <x v="2"/>
    <s v="PROD-105"/>
    <n v="5"/>
    <x v="2"/>
    <s v="Silla Ergonómica"/>
    <s v="Mobiliario"/>
    <n v="280"/>
    <n v="1400"/>
    <n v="1400"/>
    <n v="0"/>
  </r>
  <r>
    <s v="VEN-2126"/>
    <s v="2026-06-19"/>
    <x v="0"/>
    <x v="2"/>
    <s v="PROD-104"/>
    <n v="2"/>
    <x v="3"/>
    <s v="Mouse Inalámbrico Pro"/>
    <s v="Accesorios"/>
    <n v="45"/>
    <n v="90"/>
    <n v="76.5"/>
    <n v="13.5"/>
  </r>
  <r>
    <s v="VEN-2127"/>
    <s v="2026-05-13"/>
    <x v="2"/>
    <x v="0"/>
    <s v="PROD-107"/>
    <n v="6"/>
    <x v="2"/>
    <s v="Audífonos Noise Cancelling"/>
    <s v="Audio"/>
    <n v="190"/>
    <n v="1140"/>
    <n v="1140"/>
    <n v="0"/>
  </r>
  <r>
    <s v="VEN-2128"/>
    <s v="2026-04-16"/>
    <x v="3"/>
    <x v="3"/>
    <s v="PROD-108"/>
    <n v="6"/>
    <x v="3"/>
    <s v="Micrófono USB Studio"/>
    <s v="Audio"/>
    <n v="130"/>
    <n v="780"/>
    <n v="663"/>
    <n v="117"/>
  </r>
  <r>
    <s v="VEN-2129"/>
    <s v="2026-06-27"/>
    <x v="0"/>
    <x v="3"/>
    <s v="PROD-108"/>
    <n v="5"/>
    <x v="0"/>
    <s v="Micrófono USB Studio"/>
    <s v="Audio"/>
    <n v="130"/>
    <n v="650"/>
    <n v="617.5"/>
    <n v="32.5"/>
  </r>
  <r>
    <s v="VEN-2130"/>
    <s v="2026-07-31"/>
    <x v="4"/>
    <x v="2"/>
    <s v="PROD-104"/>
    <n v="7"/>
    <x v="2"/>
    <s v="Mouse Inalámbrico Pro"/>
    <s v="Accesorios"/>
    <n v="45"/>
    <n v="315"/>
    <n v="315"/>
    <n v="0"/>
  </r>
  <r>
    <s v="VEN-2131"/>
    <s v="2026-01-31"/>
    <x v="2"/>
    <x v="0"/>
    <s v="PROD-101"/>
    <n v="3"/>
    <x v="0"/>
    <s v="Laptop Pro 15"/>
    <s v="Tecnología"/>
    <n v="1200"/>
    <n v="3600"/>
    <n v="3420"/>
    <n v="180"/>
  </r>
  <r>
    <s v="VEN-2132"/>
    <s v="2026-03-11"/>
    <x v="0"/>
    <x v="2"/>
    <s v="PROD-102"/>
    <n v="7"/>
    <x v="2"/>
    <s v="Monitor 4K 27&quot;"/>
    <s v="Tecnología"/>
    <n v="350"/>
    <n v="2450"/>
    <n v="2450"/>
    <n v="0"/>
  </r>
  <r>
    <s v="VEN-2133"/>
    <s v="2026-04-27"/>
    <x v="0"/>
    <x v="3"/>
    <s v="PROD-106"/>
    <n v="2"/>
    <x v="2"/>
    <s v="Escritorio Elevable"/>
    <s v="Mobiliario"/>
    <n v="420"/>
    <n v="840"/>
    <n v="840"/>
    <n v="0"/>
  </r>
  <r>
    <s v="VEN-2134"/>
    <s v="2026-08-07"/>
    <x v="1"/>
    <x v="2"/>
    <s v="PROD-103"/>
    <n v="2"/>
    <x v="0"/>
    <s v="Teclado Mecánico RGB"/>
    <s v="Accesorios"/>
    <n v="85"/>
    <n v="170"/>
    <n v="161.5"/>
    <n v="8.5"/>
  </r>
  <r>
    <s v="VEN-2135"/>
    <s v="2026-05-29"/>
    <x v="0"/>
    <x v="3"/>
    <s v="PROD-102"/>
    <n v="5"/>
    <x v="2"/>
    <s v="Monitor 4K 27&quot;"/>
    <s v="Tecnología"/>
    <n v="350"/>
    <n v="1750"/>
    <n v="1750"/>
    <n v="0"/>
  </r>
  <r>
    <s v="VEN-2136"/>
    <s v="2026-03-30"/>
    <x v="0"/>
    <x v="3"/>
    <s v="PROD-107"/>
    <n v="2"/>
    <x v="2"/>
    <s v="Audífonos Noise Cancelling"/>
    <s v="Audio"/>
    <n v="190"/>
    <n v="380"/>
    <n v="380"/>
    <n v="0"/>
  </r>
  <r>
    <s v="VEN-2137"/>
    <s v="2026-03-19"/>
    <x v="2"/>
    <x v="3"/>
    <s v="PROD-105"/>
    <n v="3"/>
    <x v="1"/>
    <s v="Silla Ergonómica"/>
    <s v="Mobiliario"/>
    <n v="280"/>
    <n v="840"/>
    <n v="756"/>
    <n v="84"/>
  </r>
  <r>
    <s v="VEN-2138"/>
    <s v="2026-05-15"/>
    <x v="4"/>
    <x v="1"/>
    <s v="PROD-106"/>
    <n v="7"/>
    <x v="2"/>
    <s v="Escritorio Elevable"/>
    <s v="Mobiliario"/>
    <n v="420"/>
    <n v="2940"/>
    <n v="2940"/>
    <n v="0"/>
  </r>
  <r>
    <s v="VEN-2139"/>
    <s v="2026-03-03"/>
    <x v="1"/>
    <x v="2"/>
    <s v="PROD-108"/>
    <n v="3"/>
    <x v="0"/>
    <s v="Micrófono USB Studio"/>
    <s v="Audio"/>
    <n v="130"/>
    <n v="390"/>
    <n v="370.5"/>
    <n v="19.5"/>
  </r>
  <r>
    <s v="VEN-2140"/>
    <s v="2026-05-11"/>
    <x v="3"/>
    <x v="0"/>
    <s v="PROD-102"/>
    <n v="6"/>
    <x v="2"/>
    <s v="Monitor 4K 27&quot;"/>
    <s v="Tecnología"/>
    <n v="350"/>
    <n v="2100"/>
    <n v="2100"/>
    <n v="0"/>
  </r>
  <r>
    <s v="VEN-2141"/>
    <s v="2026-01-16"/>
    <x v="2"/>
    <x v="0"/>
    <s v="PROD-106"/>
    <n v="1"/>
    <x v="2"/>
    <s v="Escritorio Elevable"/>
    <s v="Mobiliario"/>
    <n v="420"/>
    <n v="420"/>
    <n v="420"/>
    <n v="0"/>
  </r>
  <r>
    <s v="VEN-2142"/>
    <s v="2026-08-10"/>
    <x v="0"/>
    <x v="3"/>
    <s v="PROD-107"/>
    <n v="5"/>
    <x v="2"/>
    <s v="Audífonos Noise Cancelling"/>
    <s v="Audio"/>
    <n v="190"/>
    <n v="950"/>
    <n v="950"/>
    <n v="0"/>
  </r>
  <r>
    <s v="VEN-2143"/>
    <s v="2026-01-15"/>
    <x v="1"/>
    <x v="0"/>
    <s v="PROD-104"/>
    <n v="5"/>
    <x v="2"/>
    <s v="Mouse Inalámbrico Pro"/>
    <s v="Accesorios"/>
    <n v="45"/>
    <n v="225"/>
    <n v="225"/>
    <n v="0"/>
  </r>
  <r>
    <s v="VEN-2144"/>
    <s v="2026-02-03"/>
    <x v="3"/>
    <x v="2"/>
    <s v="PROD-108"/>
    <n v="4"/>
    <x v="2"/>
    <s v="Micrófono USB Studio"/>
    <s v="Audio"/>
    <n v="130"/>
    <n v="520"/>
    <n v="520"/>
    <n v="0"/>
  </r>
  <r>
    <s v="VEN-2145"/>
    <s v="2026-08-10"/>
    <x v="3"/>
    <x v="0"/>
    <s v="PROD-105"/>
    <n v="4"/>
    <x v="1"/>
    <s v="Silla Ergonómica"/>
    <s v="Mobiliario"/>
    <n v="280"/>
    <n v="1120"/>
    <n v="1008"/>
    <n v="112"/>
  </r>
  <r>
    <s v="VEN-2146"/>
    <s v="2026-05-12"/>
    <x v="5"/>
    <x v="0"/>
    <s v="PROD-107"/>
    <n v="6"/>
    <x v="0"/>
    <s v="Audífonos Noise Cancelling"/>
    <s v="Audio"/>
    <n v="190"/>
    <n v="1140"/>
    <n v="1083"/>
    <n v="57"/>
  </r>
  <r>
    <s v="VEN-2147"/>
    <s v="2026-05-22"/>
    <x v="3"/>
    <x v="0"/>
    <s v="PROD-101"/>
    <n v="7"/>
    <x v="0"/>
    <s v="Laptop Pro 15"/>
    <s v="Tecnología"/>
    <n v="1200"/>
    <n v="8400"/>
    <n v="7980"/>
    <n v="420"/>
  </r>
  <r>
    <s v="VEN-2148"/>
    <s v="2026-06-07"/>
    <x v="4"/>
    <x v="3"/>
    <s v="PROD-101"/>
    <n v="6"/>
    <x v="0"/>
    <s v="Laptop Pro 15"/>
    <s v="Tecnología"/>
    <n v="1200"/>
    <n v="7200"/>
    <n v="6840"/>
    <n v="360"/>
  </r>
  <r>
    <s v="VEN-2149"/>
    <s v="2026-02-16"/>
    <x v="2"/>
    <x v="0"/>
    <s v="PROD-105"/>
    <n v="2"/>
    <x v="2"/>
    <s v="Silla Ergonómica"/>
    <s v="Mobiliario"/>
    <n v="280"/>
    <n v="560"/>
    <n v="560"/>
    <n v="0"/>
  </r>
  <r>
    <s v="VEN-2150"/>
    <s v="2026-02-11"/>
    <x v="3"/>
    <x v="0"/>
    <s v="PROD-103"/>
    <n v="5"/>
    <x v="0"/>
    <s v="Teclado Mecánico RGB"/>
    <s v="Accesorios"/>
    <n v="85"/>
    <n v="425"/>
    <n v="403.75"/>
    <n v="21.25"/>
  </r>
  <r>
    <s v="VEN-2151"/>
    <s v="2026-06-20"/>
    <x v="2"/>
    <x v="2"/>
    <s v="PROD-104"/>
    <n v="1"/>
    <x v="2"/>
    <s v="Mouse Inalámbrico Pro"/>
    <s v="Accesorios"/>
    <n v="45"/>
    <n v="45"/>
    <n v="45"/>
    <n v="0"/>
  </r>
  <r>
    <s v="VEN-2152"/>
    <s v="2026-01-11"/>
    <x v="4"/>
    <x v="3"/>
    <s v="PROD-101"/>
    <n v="2"/>
    <x v="1"/>
    <s v="Laptop Pro 15"/>
    <s v="Tecnología"/>
    <n v="1200"/>
    <n v="2400"/>
    <n v="2160"/>
    <n v="240"/>
  </r>
  <r>
    <s v="VEN-2153"/>
    <s v="2026-06-06"/>
    <x v="1"/>
    <x v="1"/>
    <s v="PROD-102"/>
    <n v="1"/>
    <x v="1"/>
    <s v="Monitor 4K 27&quot;"/>
    <s v="Tecnología"/>
    <n v="350"/>
    <n v="350"/>
    <n v="315"/>
    <n v="35"/>
  </r>
  <r>
    <s v="VEN-2154"/>
    <s v="2026-01-22"/>
    <x v="4"/>
    <x v="2"/>
    <s v="PROD-107"/>
    <n v="4"/>
    <x v="1"/>
    <s v="Audífonos Noise Cancelling"/>
    <s v="Audio"/>
    <n v="190"/>
    <n v="760"/>
    <n v="684"/>
    <n v="76"/>
  </r>
  <r>
    <s v="VEN-2155"/>
    <s v="2026-07-24"/>
    <x v="3"/>
    <x v="3"/>
    <s v="PROD-105"/>
    <n v="1"/>
    <x v="0"/>
    <s v="Silla Ergonómica"/>
    <s v="Mobiliario"/>
    <n v="280"/>
    <n v="280"/>
    <n v="266"/>
    <n v="14"/>
  </r>
  <r>
    <s v="VEN-2156"/>
    <s v="2026-02-20"/>
    <x v="2"/>
    <x v="3"/>
    <s v="PROD-101"/>
    <n v="5"/>
    <x v="3"/>
    <s v="Laptop Pro 15"/>
    <s v="Tecnología"/>
    <n v="1200"/>
    <n v="6000"/>
    <n v="5100"/>
    <n v="900"/>
  </r>
  <r>
    <s v="VEN-2157"/>
    <s v="2026-07-22"/>
    <x v="5"/>
    <x v="3"/>
    <s v="PROD-104"/>
    <n v="5"/>
    <x v="3"/>
    <s v="Mouse Inalámbrico Pro"/>
    <s v="Accesorios"/>
    <n v="45"/>
    <n v="225"/>
    <n v="191.25"/>
    <n v="33.75"/>
  </r>
  <r>
    <s v="VEN-2158"/>
    <s v="2026-04-21"/>
    <x v="1"/>
    <x v="3"/>
    <s v="PROD-103"/>
    <n v="2"/>
    <x v="2"/>
    <s v="Teclado Mecánico RGB"/>
    <s v="Accesorios"/>
    <n v="85"/>
    <n v="170"/>
    <n v="170"/>
    <n v="0"/>
  </r>
  <r>
    <s v="VEN-2159"/>
    <s v="2026-02-22"/>
    <x v="4"/>
    <x v="1"/>
    <s v="PROD-106"/>
    <n v="7"/>
    <x v="2"/>
    <s v="Escritorio Elevable"/>
    <s v="Mobiliario"/>
    <n v="420"/>
    <n v="2940"/>
    <n v="2940"/>
    <n v="0"/>
  </r>
  <r>
    <s v="VEN-2160"/>
    <s v="2026-06-16"/>
    <x v="4"/>
    <x v="3"/>
    <s v="PROD-105"/>
    <n v="3"/>
    <x v="2"/>
    <s v="Silla Ergonómica"/>
    <s v="Mobiliario"/>
    <n v="280"/>
    <n v="840"/>
    <n v="840"/>
    <n v="0"/>
  </r>
  <r>
    <s v="VEN-2161"/>
    <s v="2026-04-24"/>
    <x v="3"/>
    <x v="0"/>
    <s v="PROD-107"/>
    <n v="3"/>
    <x v="2"/>
    <s v="Audífonos Noise Cancelling"/>
    <s v="Audio"/>
    <n v="190"/>
    <n v="570"/>
    <n v="570"/>
    <n v="0"/>
  </r>
  <r>
    <s v="VEN-2162"/>
    <s v="2026-05-25"/>
    <x v="4"/>
    <x v="3"/>
    <s v="PROD-108"/>
    <n v="7"/>
    <x v="3"/>
    <s v="Micrófono USB Studio"/>
    <s v="Audio"/>
    <n v="130"/>
    <n v="910"/>
    <n v="773.5"/>
    <n v="136.5"/>
  </r>
  <r>
    <s v="VEN-2163"/>
    <s v="2026-03-28"/>
    <x v="4"/>
    <x v="3"/>
    <s v="PROD-107"/>
    <n v="3"/>
    <x v="2"/>
    <s v="Audífonos Noise Cancelling"/>
    <s v="Audio"/>
    <n v="190"/>
    <n v="570"/>
    <n v="570"/>
    <n v="0"/>
  </r>
  <r>
    <s v="VEN-2164"/>
    <s v="2026-03-20"/>
    <x v="3"/>
    <x v="0"/>
    <s v="PROD-105"/>
    <n v="1"/>
    <x v="0"/>
    <s v="Silla Ergonómica"/>
    <s v="Mobiliario"/>
    <n v="280"/>
    <n v="280"/>
    <n v="266"/>
    <n v="14"/>
  </r>
  <r>
    <s v="VEN-2165"/>
    <s v="2026-06-01"/>
    <x v="0"/>
    <x v="3"/>
    <s v="PROD-102"/>
    <n v="2"/>
    <x v="2"/>
    <s v="Monitor 4K 27&quot;"/>
    <s v="Tecnología"/>
    <n v="350"/>
    <n v="700"/>
    <n v="700"/>
    <n v="0"/>
  </r>
  <r>
    <s v="VEN-2166"/>
    <s v="2026-06-06"/>
    <x v="2"/>
    <x v="0"/>
    <s v="PROD-101"/>
    <n v="5"/>
    <x v="2"/>
    <s v="Laptop Pro 15"/>
    <s v="Tecnología"/>
    <n v="1200"/>
    <n v="6000"/>
    <n v="6000"/>
    <n v="0"/>
  </r>
  <r>
    <s v="VEN-2167"/>
    <s v="2026-05-07"/>
    <x v="5"/>
    <x v="2"/>
    <s v="PROD-101"/>
    <n v="6"/>
    <x v="2"/>
    <s v="Laptop Pro 15"/>
    <s v="Tecnología"/>
    <n v="1200"/>
    <n v="7200"/>
    <n v="7200"/>
    <n v="0"/>
  </r>
  <r>
    <s v="VEN-2168"/>
    <s v="2026-04-06"/>
    <x v="5"/>
    <x v="3"/>
    <s v="PROD-106"/>
    <n v="3"/>
    <x v="2"/>
    <s v="Escritorio Elevable"/>
    <s v="Mobiliario"/>
    <n v="420"/>
    <n v="1260"/>
    <n v="1260"/>
    <n v="0"/>
  </r>
  <r>
    <s v="VEN-2169"/>
    <s v="2026-05-07"/>
    <x v="0"/>
    <x v="3"/>
    <s v="PROD-108"/>
    <n v="7"/>
    <x v="2"/>
    <s v="Micrófono USB Studio"/>
    <s v="Audio"/>
    <n v="130"/>
    <n v="910"/>
    <n v="910"/>
    <n v="0"/>
  </r>
  <r>
    <s v="VEN-2170"/>
    <s v="2026-04-17"/>
    <x v="0"/>
    <x v="0"/>
    <s v="PROD-103"/>
    <n v="4"/>
    <x v="2"/>
    <s v="Teclado Mecánico RGB"/>
    <s v="Accesorios"/>
    <n v="85"/>
    <n v="340"/>
    <n v="340"/>
    <n v="0"/>
  </r>
  <r>
    <s v="VEN-2171"/>
    <s v="2026-07-21"/>
    <x v="5"/>
    <x v="3"/>
    <s v="PROD-107"/>
    <n v="5"/>
    <x v="3"/>
    <s v="Audífonos Noise Cancelling"/>
    <s v="Audio"/>
    <n v="190"/>
    <n v="950"/>
    <n v="807.5"/>
    <n v="142.5"/>
  </r>
  <r>
    <s v="VEN-2172"/>
    <s v="2026-03-18"/>
    <x v="1"/>
    <x v="1"/>
    <s v="PROD-108"/>
    <n v="6"/>
    <x v="2"/>
    <s v="Micrófono USB Studio"/>
    <s v="Audio"/>
    <n v="130"/>
    <n v="780"/>
    <n v="780"/>
    <n v="0"/>
  </r>
  <r>
    <s v="VEN-2173"/>
    <s v="2026-05-23"/>
    <x v="2"/>
    <x v="1"/>
    <s v="PROD-105"/>
    <n v="3"/>
    <x v="2"/>
    <s v="Silla Ergonómica"/>
    <s v="Mobiliario"/>
    <n v="280"/>
    <n v="840"/>
    <n v="840"/>
    <n v="0"/>
  </r>
  <r>
    <s v="VEN-2174"/>
    <s v="2026-03-21"/>
    <x v="0"/>
    <x v="3"/>
    <s v="PROD-103"/>
    <n v="1"/>
    <x v="1"/>
    <s v="Teclado Mecánico RGB"/>
    <s v="Accesorios"/>
    <n v="85"/>
    <n v="85"/>
    <n v="76.5"/>
    <n v="8.5"/>
  </r>
  <r>
    <s v="VEN-2175"/>
    <s v="2026-04-14"/>
    <x v="0"/>
    <x v="0"/>
    <s v="PROD-102"/>
    <n v="3"/>
    <x v="2"/>
    <s v="Monitor 4K 27&quot;"/>
    <s v="Tecnología"/>
    <n v="350"/>
    <n v="1050"/>
    <n v="1050"/>
    <n v="0"/>
  </r>
  <r>
    <s v="VEN-2176"/>
    <s v="2026-04-16"/>
    <x v="1"/>
    <x v="3"/>
    <s v="PROD-105"/>
    <n v="2"/>
    <x v="2"/>
    <s v="Silla Ergonómica"/>
    <s v="Mobiliario"/>
    <n v="280"/>
    <n v="560"/>
    <n v="560"/>
    <n v="0"/>
  </r>
  <r>
    <s v="VEN-2177"/>
    <s v="2026-05-24"/>
    <x v="1"/>
    <x v="0"/>
    <s v="PROD-106"/>
    <n v="7"/>
    <x v="2"/>
    <s v="Escritorio Elevable"/>
    <s v="Mobiliario"/>
    <n v="420"/>
    <n v="2940"/>
    <n v="2940"/>
    <n v="0"/>
  </r>
  <r>
    <s v="VEN-2178"/>
    <s v="2026-01-09"/>
    <x v="2"/>
    <x v="0"/>
    <s v="PROD-104"/>
    <n v="6"/>
    <x v="1"/>
    <s v="Mouse Inalámbrico Pro"/>
    <s v="Accesorios"/>
    <n v="45"/>
    <n v="270"/>
    <n v="243"/>
    <n v="27"/>
  </r>
  <r>
    <s v="VEN-2179"/>
    <s v="2026-01-24"/>
    <x v="4"/>
    <x v="2"/>
    <s v="PROD-106"/>
    <n v="2"/>
    <x v="3"/>
    <s v="Escritorio Elevable"/>
    <s v="Mobiliario"/>
    <n v="420"/>
    <n v="840"/>
    <n v="714"/>
    <n v="126"/>
  </r>
  <r>
    <s v="VEN-2180"/>
    <s v="2026-05-27"/>
    <x v="1"/>
    <x v="1"/>
    <s v="PROD-103"/>
    <n v="2"/>
    <x v="1"/>
    <s v="Teclado Mecánico RGB"/>
    <s v="Accesorios"/>
    <n v="85"/>
    <n v="170"/>
    <n v="153"/>
    <n v="17"/>
  </r>
  <r>
    <s v="VEN-2181"/>
    <s v="2026-01-17"/>
    <x v="5"/>
    <x v="3"/>
    <s v="PROD-108"/>
    <n v="3"/>
    <x v="0"/>
    <s v="Micrófono USB Studio"/>
    <s v="Audio"/>
    <n v="130"/>
    <n v="390"/>
    <n v="370.5"/>
    <n v="19.5"/>
  </r>
  <r>
    <s v="VEN-2182"/>
    <s v="2026-07-08"/>
    <x v="2"/>
    <x v="1"/>
    <s v="PROD-104"/>
    <n v="5"/>
    <x v="2"/>
    <s v="Mouse Inalámbrico Pro"/>
    <s v="Accesorios"/>
    <n v="45"/>
    <n v="225"/>
    <n v="225"/>
    <n v="0"/>
  </r>
  <r>
    <s v="VEN-2183"/>
    <s v="2026-07-20"/>
    <x v="5"/>
    <x v="2"/>
    <s v="PROD-105"/>
    <n v="6"/>
    <x v="2"/>
    <s v="Silla Ergonómica"/>
    <s v="Mobiliario"/>
    <n v="280"/>
    <n v="1680"/>
    <n v="1680"/>
    <n v="0"/>
  </r>
  <r>
    <s v="VEN-2184"/>
    <s v="2026-02-01"/>
    <x v="5"/>
    <x v="3"/>
    <s v="PROD-106"/>
    <n v="3"/>
    <x v="2"/>
    <s v="Escritorio Elevable"/>
    <s v="Mobiliario"/>
    <n v="420"/>
    <n v="1260"/>
    <n v="1260"/>
    <n v="0"/>
  </r>
  <r>
    <s v="VEN-2185"/>
    <s v="2026-05-25"/>
    <x v="3"/>
    <x v="1"/>
    <s v="PROD-106"/>
    <n v="1"/>
    <x v="2"/>
    <s v="Escritorio Elevable"/>
    <s v="Mobiliario"/>
    <n v="420"/>
    <n v="420"/>
    <n v="420"/>
    <n v="0"/>
  </r>
  <r>
    <s v="VEN-2186"/>
    <s v="2026-08-12"/>
    <x v="5"/>
    <x v="1"/>
    <s v="PROD-107"/>
    <n v="3"/>
    <x v="0"/>
    <s v="Audífonos Noise Cancelling"/>
    <s v="Audio"/>
    <n v="190"/>
    <n v="570"/>
    <n v="541.5"/>
    <n v="28.5"/>
  </r>
  <r>
    <s v="VEN-2187"/>
    <s v="2026-08-15"/>
    <x v="1"/>
    <x v="0"/>
    <s v="PROD-107"/>
    <n v="2"/>
    <x v="0"/>
    <s v="Audífonos Noise Cancelling"/>
    <s v="Audio"/>
    <n v="190"/>
    <n v="380"/>
    <n v="361"/>
    <n v="19"/>
  </r>
  <r>
    <s v="VEN-2188"/>
    <s v="2026-02-14"/>
    <x v="2"/>
    <x v="0"/>
    <s v="PROD-106"/>
    <n v="2"/>
    <x v="0"/>
    <s v="Escritorio Elevable"/>
    <s v="Mobiliario"/>
    <n v="420"/>
    <n v="840"/>
    <n v="798"/>
    <n v="42"/>
  </r>
  <r>
    <s v="VEN-2189"/>
    <s v="2026-04-01"/>
    <x v="3"/>
    <x v="3"/>
    <s v="PROD-101"/>
    <n v="1"/>
    <x v="2"/>
    <s v="Laptop Pro 15"/>
    <s v="Tecnología"/>
    <n v="1200"/>
    <n v="1200"/>
    <n v="1200"/>
    <n v="0"/>
  </r>
  <r>
    <s v="VEN-2190"/>
    <s v="2026-05-27"/>
    <x v="0"/>
    <x v="0"/>
    <s v="PROD-105"/>
    <n v="7"/>
    <x v="2"/>
    <s v="Silla Ergonómica"/>
    <s v="Mobiliario"/>
    <n v="280"/>
    <n v="1960"/>
    <n v="1960"/>
    <n v="0"/>
  </r>
  <r>
    <s v="VEN-2191"/>
    <s v="2026-06-28"/>
    <x v="4"/>
    <x v="1"/>
    <s v="PROD-107"/>
    <n v="1"/>
    <x v="2"/>
    <s v="Audífonos Noise Cancelling"/>
    <s v="Audio"/>
    <n v="190"/>
    <n v="190"/>
    <n v="190"/>
    <n v="0"/>
  </r>
  <r>
    <s v="VEN-2192"/>
    <s v="2026-02-17"/>
    <x v="0"/>
    <x v="1"/>
    <s v="PROD-103"/>
    <n v="6"/>
    <x v="2"/>
    <s v="Teclado Mecánico RGB"/>
    <s v="Accesorios"/>
    <n v="85"/>
    <n v="510"/>
    <n v="510"/>
    <n v="0"/>
  </r>
  <r>
    <s v="VEN-2193"/>
    <s v="2026-03-26"/>
    <x v="4"/>
    <x v="2"/>
    <s v="PROD-105"/>
    <n v="3"/>
    <x v="2"/>
    <s v="Silla Ergonómica"/>
    <s v="Mobiliario"/>
    <n v="280"/>
    <n v="840"/>
    <n v="840"/>
    <n v="0"/>
  </r>
  <r>
    <s v="VEN-2194"/>
    <s v="2026-03-21"/>
    <x v="4"/>
    <x v="3"/>
    <s v="PROD-105"/>
    <n v="3"/>
    <x v="0"/>
    <s v="Silla Ergonómica"/>
    <s v="Mobiliario"/>
    <n v="280"/>
    <n v="840"/>
    <n v="798"/>
    <n v="42"/>
  </r>
  <r>
    <s v="VEN-2195"/>
    <s v="2026-03-25"/>
    <x v="5"/>
    <x v="1"/>
    <s v="PROD-107"/>
    <n v="6"/>
    <x v="2"/>
    <s v="Audífonos Noise Cancelling"/>
    <s v="Audio"/>
    <n v="190"/>
    <n v="1140"/>
    <n v="1140"/>
    <n v="0"/>
  </r>
  <r>
    <s v="VEN-2196"/>
    <s v="2026-01-16"/>
    <x v="5"/>
    <x v="2"/>
    <s v="PROD-102"/>
    <n v="5"/>
    <x v="2"/>
    <s v="Monitor 4K 27&quot;"/>
    <s v="Tecnología"/>
    <n v="350"/>
    <n v="1750"/>
    <n v="1750"/>
    <n v="0"/>
  </r>
  <r>
    <s v="VEN-2197"/>
    <s v="2026-05-26"/>
    <x v="2"/>
    <x v="1"/>
    <s v="PROD-107"/>
    <n v="6"/>
    <x v="0"/>
    <s v="Audífonos Noise Cancelling"/>
    <s v="Audio"/>
    <n v="190"/>
    <n v="1140"/>
    <n v="1083"/>
    <n v="57"/>
  </r>
  <r>
    <s v="VEN-2198"/>
    <s v="2026-03-06"/>
    <x v="0"/>
    <x v="1"/>
    <s v="PROD-102"/>
    <n v="6"/>
    <x v="2"/>
    <s v="Monitor 4K 27&quot;"/>
    <s v="Tecnología"/>
    <n v="350"/>
    <n v="2100"/>
    <n v="2100"/>
    <n v="0"/>
  </r>
  <r>
    <s v="VEN-2199"/>
    <s v="2026-05-08"/>
    <x v="3"/>
    <x v="2"/>
    <s v="PROD-104"/>
    <n v="1"/>
    <x v="2"/>
    <s v="Mouse Inalámbrico Pro"/>
    <s v="Accesorios"/>
    <n v="45"/>
    <n v="45"/>
    <n v="45"/>
    <n v="0"/>
  </r>
  <r>
    <s v="VEN-2200"/>
    <s v="2026-01-25"/>
    <x v="0"/>
    <x v="2"/>
    <s v="PROD-106"/>
    <n v="7"/>
    <x v="0"/>
    <s v="Escritorio Elevable"/>
    <s v="Mobiliario"/>
    <n v="420"/>
    <n v="2940"/>
    <n v="2793"/>
    <n v="147"/>
  </r>
  <r>
    <s v="VEN-2201"/>
    <s v="2026-04-29"/>
    <x v="1"/>
    <x v="1"/>
    <s v="PROD-108"/>
    <n v="5"/>
    <x v="2"/>
    <s v="Micrófono USB Studio"/>
    <s v="Audio"/>
    <n v="130"/>
    <n v="650"/>
    <n v="650"/>
    <n v="0"/>
  </r>
  <r>
    <s v="VEN-2202"/>
    <s v="2026-05-24"/>
    <x v="5"/>
    <x v="2"/>
    <s v="PROD-102"/>
    <n v="2"/>
    <x v="2"/>
    <s v="Monitor 4K 27&quot;"/>
    <s v="Tecnología"/>
    <n v="350"/>
    <n v="700"/>
    <n v="700"/>
    <n v="0"/>
  </r>
  <r>
    <s v="VEN-2203"/>
    <s v="2026-07-24"/>
    <x v="1"/>
    <x v="1"/>
    <s v="PROD-107"/>
    <n v="5"/>
    <x v="2"/>
    <s v="Audífonos Noise Cancelling"/>
    <s v="Audio"/>
    <n v="190"/>
    <n v="950"/>
    <n v="950"/>
    <n v="0"/>
  </r>
  <r>
    <s v="VEN-2204"/>
    <s v="2026-08-14"/>
    <x v="5"/>
    <x v="0"/>
    <s v="PROD-103"/>
    <n v="7"/>
    <x v="0"/>
    <s v="Teclado Mecánico RGB"/>
    <s v="Accesorios"/>
    <n v="85"/>
    <n v="595"/>
    <n v="565.25"/>
    <n v="29.75"/>
  </r>
  <r>
    <s v="VEN-2205"/>
    <s v="2026-07-31"/>
    <x v="5"/>
    <x v="1"/>
    <s v="PROD-101"/>
    <n v="2"/>
    <x v="2"/>
    <s v="Laptop Pro 15"/>
    <s v="Tecnología"/>
    <n v="1200"/>
    <n v="2400"/>
    <n v="2400"/>
    <n v="0"/>
  </r>
  <r>
    <s v="VEN-2206"/>
    <s v="2026-08-10"/>
    <x v="1"/>
    <x v="1"/>
    <s v="PROD-108"/>
    <n v="4"/>
    <x v="2"/>
    <s v="Micrófono USB Studio"/>
    <s v="Audio"/>
    <n v="130"/>
    <n v="520"/>
    <n v="520"/>
    <n v="0"/>
  </r>
  <r>
    <s v="VEN-2207"/>
    <s v="2026-04-07"/>
    <x v="3"/>
    <x v="3"/>
    <s v="PROD-107"/>
    <n v="6"/>
    <x v="2"/>
    <s v="Audífonos Noise Cancelling"/>
    <s v="Audio"/>
    <n v="190"/>
    <n v="1140"/>
    <n v="1140"/>
    <n v="0"/>
  </r>
  <r>
    <s v="VEN-2208"/>
    <s v="2026-06-14"/>
    <x v="2"/>
    <x v="1"/>
    <s v="PROD-106"/>
    <n v="6"/>
    <x v="2"/>
    <s v="Escritorio Elevable"/>
    <s v="Mobiliario"/>
    <n v="420"/>
    <n v="2520"/>
    <n v="2520"/>
    <n v="0"/>
  </r>
  <r>
    <s v="VEN-2209"/>
    <s v="2026-03-02"/>
    <x v="0"/>
    <x v="3"/>
    <s v="PROD-102"/>
    <n v="6"/>
    <x v="0"/>
    <s v="Monitor 4K 27&quot;"/>
    <s v="Tecnología"/>
    <n v="350"/>
    <n v="2100"/>
    <n v="1995"/>
    <n v="105"/>
  </r>
  <r>
    <s v="VEN-2210"/>
    <s v="2026-06-30"/>
    <x v="4"/>
    <x v="0"/>
    <s v="PROD-108"/>
    <n v="4"/>
    <x v="2"/>
    <s v="Micrófono USB Studio"/>
    <s v="Audio"/>
    <n v="130"/>
    <n v="520"/>
    <n v="520"/>
    <n v="0"/>
  </r>
  <r>
    <s v="VEN-2211"/>
    <s v="2026-02-18"/>
    <x v="5"/>
    <x v="0"/>
    <s v="PROD-105"/>
    <n v="7"/>
    <x v="1"/>
    <s v="Silla Ergonómica"/>
    <s v="Mobiliario"/>
    <n v="280"/>
    <n v="1960"/>
    <n v="1764"/>
    <n v="196"/>
  </r>
  <r>
    <s v="VEN-2212"/>
    <s v="2026-05-09"/>
    <x v="3"/>
    <x v="2"/>
    <s v="PROD-108"/>
    <n v="4"/>
    <x v="0"/>
    <s v="Micrófono USB Studio"/>
    <s v="Audio"/>
    <n v="130"/>
    <n v="520"/>
    <n v="494"/>
    <n v="26"/>
  </r>
  <r>
    <s v="VEN-2213"/>
    <s v="2026-05-09"/>
    <x v="0"/>
    <x v="2"/>
    <s v="PROD-104"/>
    <n v="7"/>
    <x v="2"/>
    <s v="Mouse Inalámbrico Pro"/>
    <s v="Accesorios"/>
    <n v="45"/>
    <n v="315"/>
    <n v="315"/>
    <n v="0"/>
  </r>
  <r>
    <s v="VEN-2214"/>
    <s v="2026-04-25"/>
    <x v="0"/>
    <x v="3"/>
    <s v="PROD-108"/>
    <n v="1"/>
    <x v="0"/>
    <s v="Micrófono USB Studio"/>
    <s v="Audio"/>
    <n v="130"/>
    <n v="130"/>
    <n v="123.5"/>
    <n v="6.5"/>
  </r>
  <r>
    <s v="VEN-2215"/>
    <s v="2026-07-13"/>
    <x v="0"/>
    <x v="0"/>
    <s v="PROD-103"/>
    <n v="7"/>
    <x v="2"/>
    <s v="Teclado Mecánico RGB"/>
    <s v="Accesorios"/>
    <n v="85"/>
    <n v="595"/>
    <n v="595"/>
    <n v="0"/>
  </r>
  <r>
    <s v="VEN-2216"/>
    <s v="2026-04-04"/>
    <x v="5"/>
    <x v="0"/>
    <s v="PROD-101"/>
    <n v="2"/>
    <x v="2"/>
    <s v="Laptop Pro 15"/>
    <s v="Tecnología"/>
    <n v="1200"/>
    <n v="2400"/>
    <n v="2400"/>
    <n v="0"/>
  </r>
  <r>
    <s v="VEN-2217"/>
    <s v="2026-06-02"/>
    <x v="0"/>
    <x v="1"/>
    <s v="PROD-102"/>
    <n v="5"/>
    <x v="2"/>
    <s v="Monitor 4K 27&quot;"/>
    <s v="Tecnología"/>
    <n v="350"/>
    <n v="1750"/>
    <n v="1750"/>
    <n v="0"/>
  </r>
  <r>
    <s v="VEN-2218"/>
    <s v="2026-02-18"/>
    <x v="1"/>
    <x v="2"/>
    <s v="PROD-102"/>
    <n v="2"/>
    <x v="3"/>
    <s v="Monitor 4K 27&quot;"/>
    <s v="Tecnología"/>
    <n v="350"/>
    <n v="700"/>
    <n v="595"/>
    <n v="105"/>
  </r>
  <r>
    <s v="VEN-2219"/>
    <s v="2026-05-25"/>
    <x v="3"/>
    <x v="1"/>
    <s v="PROD-102"/>
    <n v="1"/>
    <x v="2"/>
    <s v="Monitor 4K 27&quot;"/>
    <s v="Tecnología"/>
    <n v="350"/>
    <n v="350"/>
    <n v="350"/>
    <n v="0"/>
  </r>
  <r>
    <s v="VEN-2220"/>
    <s v="2026-02-10"/>
    <x v="5"/>
    <x v="3"/>
    <s v="PROD-106"/>
    <n v="6"/>
    <x v="2"/>
    <s v="Escritorio Elevable"/>
    <s v="Mobiliario"/>
    <n v="420"/>
    <n v="2520"/>
    <n v="2520"/>
    <n v="0"/>
  </r>
  <r>
    <s v="VEN-2221"/>
    <s v="2026-06-16"/>
    <x v="2"/>
    <x v="2"/>
    <s v="PROD-103"/>
    <n v="1"/>
    <x v="1"/>
    <s v="Teclado Mecánico RGB"/>
    <s v="Accesorios"/>
    <n v="85"/>
    <n v="85"/>
    <n v="76.5"/>
    <n v="8.5"/>
  </r>
  <r>
    <s v="VEN-2222"/>
    <s v="2026-04-28"/>
    <x v="4"/>
    <x v="0"/>
    <s v="PROD-104"/>
    <n v="1"/>
    <x v="1"/>
    <s v="Mouse Inalámbrico Pro"/>
    <s v="Accesorios"/>
    <n v="45"/>
    <n v="45"/>
    <n v="40.5"/>
    <n v="4.5"/>
  </r>
  <r>
    <s v="VEN-2223"/>
    <s v="2026-01-16"/>
    <x v="1"/>
    <x v="2"/>
    <s v="PROD-101"/>
    <n v="5"/>
    <x v="1"/>
    <s v="Laptop Pro 15"/>
    <s v="Tecnología"/>
    <n v="1200"/>
    <n v="6000"/>
    <n v="5400"/>
    <n v="600"/>
  </r>
  <r>
    <s v="VEN-2224"/>
    <s v="2026-04-20"/>
    <x v="3"/>
    <x v="3"/>
    <s v="PROD-106"/>
    <n v="3"/>
    <x v="2"/>
    <s v="Escritorio Elevable"/>
    <s v="Mobiliario"/>
    <n v="420"/>
    <n v="1260"/>
    <n v="1260"/>
    <n v="0"/>
  </r>
  <r>
    <s v="VEN-2225"/>
    <s v="2026-05-16"/>
    <x v="1"/>
    <x v="1"/>
    <s v="PROD-102"/>
    <n v="5"/>
    <x v="2"/>
    <s v="Monitor 4K 27&quot;"/>
    <s v="Tecnología"/>
    <n v="350"/>
    <n v="1750"/>
    <n v="1750"/>
    <n v="0"/>
  </r>
  <r>
    <s v="VEN-2226"/>
    <s v="2026-02-07"/>
    <x v="3"/>
    <x v="0"/>
    <s v="PROD-108"/>
    <n v="1"/>
    <x v="0"/>
    <s v="Micrófono USB Studio"/>
    <s v="Audio"/>
    <n v="130"/>
    <n v="130"/>
    <n v="123.5"/>
    <n v="6.5"/>
  </r>
  <r>
    <s v="VEN-2227"/>
    <s v="2026-03-21"/>
    <x v="5"/>
    <x v="0"/>
    <s v="PROD-102"/>
    <n v="6"/>
    <x v="3"/>
    <s v="Monitor 4K 27&quot;"/>
    <s v="Tecnología"/>
    <n v="350"/>
    <n v="2100"/>
    <n v="1785"/>
    <n v="315"/>
  </r>
  <r>
    <s v="VEN-2228"/>
    <s v="2026-01-09"/>
    <x v="4"/>
    <x v="1"/>
    <s v="PROD-103"/>
    <n v="6"/>
    <x v="2"/>
    <s v="Teclado Mecánico RGB"/>
    <s v="Accesorios"/>
    <n v="85"/>
    <n v="510"/>
    <n v="510"/>
    <n v="0"/>
  </r>
  <r>
    <s v="VEN-2229"/>
    <s v="2026-01-13"/>
    <x v="0"/>
    <x v="0"/>
    <s v="PROD-107"/>
    <n v="5"/>
    <x v="1"/>
    <s v="Audífonos Noise Cancelling"/>
    <s v="Audio"/>
    <n v="190"/>
    <n v="950"/>
    <n v="855"/>
    <n v="95"/>
  </r>
  <r>
    <s v="VEN-2230"/>
    <s v="2026-07-10"/>
    <x v="3"/>
    <x v="1"/>
    <s v="PROD-103"/>
    <n v="7"/>
    <x v="2"/>
    <s v="Teclado Mecánico RGB"/>
    <s v="Accesorios"/>
    <n v="85"/>
    <n v="595"/>
    <n v="595"/>
    <n v="0"/>
  </r>
  <r>
    <s v="VEN-2231"/>
    <s v="2026-01-25"/>
    <x v="2"/>
    <x v="2"/>
    <s v="PROD-108"/>
    <n v="7"/>
    <x v="2"/>
    <s v="Micrófono USB Studio"/>
    <s v="Audio"/>
    <n v="130"/>
    <n v="910"/>
    <n v="910"/>
    <n v="0"/>
  </r>
  <r>
    <s v="VEN-2232"/>
    <s v="2026-07-22"/>
    <x v="5"/>
    <x v="1"/>
    <s v="PROD-107"/>
    <n v="1"/>
    <x v="2"/>
    <s v="Audífonos Noise Cancelling"/>
    <s v="Audio"/>
    <n v="190"/>
    <n v="190"/>
    <n v="190"/>
    <n v="0"/>
  </r>
  <r>
    <s v="VEN-2233"/>
    <s v="2026-06-07"/>
    <x v="5"/>
    <x v="3"/>
    <s v="PROD-108"/>
    <n v="7"/>
    <x v="2"/>
    <s v="Micrófono USB Studio"/>
    <s v="Audio"/>
    <n v="130"/>
    <n v="910"/>
    <n v="910"/>
    <n v="0"/>
  </r>
  <r>
    <s v="VEN-2234"/>
    <s v="2026-04-19"/>
    <x v="4"/>
    <x v="0"/>
    <s v="PROD-107"/>
    <n v="2"/>
    <x v="2"/>
    <s v="Audífonos Noise Cancelling"/>
    <s v="Audio"/>
    <n v="190"/>
    <n v="380"/>
    <n v="380"/>
    <n v="0"/>
  </r>
  <r>
    <s v="VEN-2235"/>
    <s v="2026-02-27"/>
    <x v="0"/>
    <x v="0"/>
    <s v="PROD-104"/>
    <n v="4"/>
    <x v="1"/>
    <s v="Mouse Inalámbrico Pro"/>
    <s v="Accesorios"/>
    <n v="45"/>
    <n v="180"/>
    <n v="162"/>
    <n v="18"/>
  </r>
  <r>
    <s v="VEN-2236"/>
    <s v="2026-07-01"/>
    <x v="0"/>
    <x v="2"/>
    <s v="PROD-106"/>
    <n v="6"/>
    <x v="0"/>
    <s v="Escritorio Elevable"/>
    <s v="Mobiliario"/>
    <n v="420"/>
    <n v="2520"/>
    <n v="2394"/>
    <n v="126"/>
  </r>
  <r>
    <s v="VEN-2237"/>
    <s v="2026-01-18"/>
    <x v="3"/>
    <x v="2"/>
    <s v="PROD-106"/>
    <n v="1"/>
    <x v="2"/>
    <s v="Escritorio Elevable"/>
    <s v="Mobiliario"/>
    <n v="420"/>
    <n v="420"/>
    <n v="420"/>
    <n v="0"/>
  </r>
  <r>
    <s v="VEN-2238"/>
    <s v="2026-04-24"/>
    <x v="3"/>
    <x v="2"/>
    <s v="PROD-108"/>
    <n v="5"/>
    <x v="0"/>
    <s v="Micrófono USB Studio"/>
    <s v="Audio"/>
    <n v="130"/>
    <n v="650"/>
    <n v="617.5"/>
    <n v="32.5"/>
  </r>
  <r>
    <s v="VEN-2239"/>
    <s v="2026-06-09"/>
    <x v="1"/>
    <x v="0"/>
    <s v="PROD-106"/>
    <n v="3"/>
    <x v="2"/>
    <s v="Escritorio Elevable"/>
    <s v="Mobiliario"/>
    <n v="420"/>
    <n v="1260"/>
    <n v="1260"/>
    <n v="0"/>
  </r>
  <r>
    <s v="VEN-2240"/>
    <s v="2026-04-09"/>
    <x v="0"/>
    <x v="2"/>
    <s v="PROD-106"/>
    <n v="6"/>
    <x v="2"/>
    <s v="Escritorio Elevable"/>
    <s v="Mobiliario"/>
    <n v="420"/>
    <n v="2520"/>
    <n v="2520"/>
    <n v="0"/>
  </r>
  <r>
    <s v="VEN-2241"/>
    <s v="2026-03-25"/>
    <x v="0"/>
    <x v="1"/>
    <s v="PROD-103"/>
    <n v="5"/>
    <x v="0"/>
    <s v="Teclado Mecánico RGB"/>
    <s v="Accesorios"/>
    <n v="85"/>
    <n v="425"/>
    <n v="403.75"/>
    <n v="21.25"/>
  </r>
  <r>
    <s v="VEN-2242"/>
    <s v="2026-08-06"/>
    <x v="3"/>
    <x v="1"/>
    <s v="PROD-106"/>
    <n v="3"/>
    <x v="2"/>
    <s v="Escritorio Elevable"/>
    <s v="Mobiliario"/>
    <n v="420"/>
    <n v="1260"/>
    <n v="1260"/>
    <n v="0"/>
  </r>
  <r>
    <s v="VEN-2243"/>
    <s v="2026-08-07"/>
    <x v="1"/>
    <x v="0"/>
    <s v="PROD-106"/>
    <n v="3"/>
    <x v="2"/>
    <s v="Escritorio Elevable"/>
    <s v="Mobiliario"/>
    <n v="420"/>
    <n v="1260"/>
    <n v="1260"/>
    <n v="0"/>
  </r>
  <r>
    <s v="VEN-2244"/>
    <s v="2026-01-12"/>
    <x v="0"/>
    <x v="0"/>
    <s v="PROD-102"/>
    <n v="5"/>
    <x v="0"/>
    <s v="Monitor 4K 27&quot;"/>
    <s v="Tecnología"/>
    <n v="350"/>
    <n v="1750"/>
    <n v="1662.5"/>
    <n v="87.5"/>
  </r>
  <r>
    <s v="VEN-2245"/>
    <s v="2026-05-09"/>
    <x v="5"/>
    <x v="2"/>
    <s v="PROD-104"/>
    <n v="4"/>
    <x v="2"/>
    <s v="Mouse Inalámbrico Pro"/>
    <s v="Accesorios"/>
    <n v="45"/>
    <n v="180"/>
    <n v="180"/>
    <n v="0"/>
  </r>
  <r>
    <s v="VEN-2246"/>
    <s v="2026-06-01"/>
    <x v="3"/>
    <x v="2"/>
    <s v="PROD-103"/>
    <n v="4"/>
    <x v="0"/>
    <s v="Teclado Mecánico RGB"/>
    <s v="Accesorios"/>
    <n v="85"/>
    <n v="340"/>
    <n v="323"/>
    <n v="17"/>
  </r>
  <r>
    <s v="VEN-2247"/>
    <s v="2026-03-04"/>
    <x v="5"/>
    <x v="0"/>
    <s v="PROD-104"/>
    <n v="6"/>
    <x v="0"/>
    <s v="Mouse Inalámbrico Pro"/>
    <s v="Accesorios"/>
    <n v="45"/>
    <n v="270"/>
    <n v="256.5"/>
    <n v="13.5"/>
  </r>
  <r>
    <s v="VEN-2248"/>
    <s v="2026-07-24"/>
    <x v="1"/>
    <x v="2"/>
    <s v="PROD-101"/>
    <n v="3"/>
    <x v="0"/>
    <s v="Laptop Pro 15"/>
    <s v="Tecnología"/>
    <n v="1200"/>
    <n v="3600"/>
    <n v="3420"/>
    <n v="180"/>
  </r>
  <r>
    <s v="VEN-2249"/>
    <s v="2026-02-14"/>
    <x v="3"/>
    <x v="3"/>
    <s v="PROD-107"/>
    <n v="7"/>
    <x v="2"/>
    <s v="Audífonos Noise Cancelling"/>
    <s v="Audio"/>
    <n v="190"/>
    <n v="1330"/>
    <n v="1330"/>
    <n v="0"/>
  </r>
  <r>
    <s v="VEN-2250"/>
    <s v="2026-07-20"/>
    <x v="2"/>
    <x v="2"/>
    <s v="PROD-104"/>
    <n v="1"/>
    <x v="0"/>
    <s v="Mouse Inalámbrico Pro"/>
    <s v="Accesorios"/>
    <n v="45"/>
    <n v="45"/>
    <n v="42.75"/>
    <n v="2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C1DC5-8FD0-49C8-8BD9-211B0C8C8EDD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4" colHeaderCaption="Porcentajes">
  <location ref="B36:G44" firstHeaderRow="1" firstDataRow="2" firstDataCol="1" rowPageCount="1" colPageCount="1"/>
  <pivotFields count="13">
    <pivotField showAll="0"/>
    <pivotField showAll="0"/>
    <pivotField axis="axisRow" showAll="0" sortType="ascending">
      <items count="7">
        <item x="3"/>
        <item x="1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a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axis="axisPage" numFmtId="165" multipleItemSelectionAllowed="1" showAll="0">
      <items count="5">
        <item x="2"/>
        <item x="0"/>
        <item x="1"/>
        <item x="3"/>
        <item t="default"/>
      </items>
    </pivotField>
    <pivotField showAll="0"/>
    <pivotField showAll="0"/>
    <pivotField numFmtId="164" showAll="0"/>
    <pivotField numFmtId="164" showAll="0"/>
    <pivotField dataField="1" numFmtId="164" showAll="0"/>
    <pivotField numFmtId="164" showAll="0"/>
  </pivotFields>
  <rowFields count="1">
    <field x="2"/>
  </rowFields>
  <rowItems count="7">
    <i>
      <x/>
    </i>
    <i>
      <x v="1"/>
    </i>
    <i>
      <x v="3"/>
    </i>
    <i>
      <x v="4"/>
    </i>
    <i>
      <x v="5"/>
    </i>
    <i>
      <x v="2"/>
    </i>
    <i t="grand">
      <x/>
    </i>
  </rowItems>
  <colFields count="1">
    <field x="3"/>
  </colFields>
  <colItems count="5">
    <i>
      <x v="2"/>
    </i>
    <i>
      <x/>
    </i>
    <i>
      <x v="3"/>
    </i>
    <i>
      <x v="1"/>
    </i>
    <i t="grand">
      <x/>
    </i>
  </colItems>
  <pageFields count="1">
    <pageField fld="6" hier="-1"/>
  </pageFields>
  <dataFields count="1">
    <dataField name="Suma de Total_Neto" fld="11" baseField="0" baseItem="0" numFmtId="164"/>
  </dataFields>
  <formats count="19"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3" type="button" dataOnly="0" labelOnly="1" outline="0" axis="axisCol" fieldPosition="0"/>
    </format>
    <format dxfId="120">
      <pivotArea dataOnly="0" labelOnly="1" grandRow="1" outline="0" fieldPosition="0"/>
    </format>
    <format dxfId="119">
      <pivotArea grandCol="1" outline="0" collapsedLevelsAreSubtotals="1" fieldPosition="0"/>
    </format>
    <format dxfId="118">
      <pivotArea type="topRight" dataOnly="0" labelOnly="1" outline="0" offset="D1" fieldPosition="0"/>
    </format>
    <format dxfId="117">
      <pivotArea dataOnly="0" labelOnly="1" grandCol="1" outline="0" fieldPosition="0"/>
    </format>
    <format dxfId="116">
      <pivotArea type="topRight" dataOnly="0" labelOnly="1" outline="0" offset="D1" fieldPosition="0"/>
    </format>
    <format dxfId="115">
      <pivotArea dataOnly="0" labelOnly="1" grandCol="1" outline="0" fieldPosition="0"/>
    </format>
    <format dxfId="114">
      <pivotArea grandRow="1" grandCol="1" outline="0" collapsedLevelsAreSubtotals="1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origin" dataOnly="0" labelOnly="1" outline="0" fieldPosition="0"/>
    </format>
    <format dxfId="110">
      <pivotArea field="6" type="button" dataOnly="0" labelOnly="1" outline="0" axis="axisPage" fieldPosition="0"/>
    </format>
    <format dxfId="109">
      <pivotArea type="topRight" dataOnly="0" labelOnly="1" outline="0" fieldPosition="0"/>
    </format>
    <format dxfId="108">
      <pivotArea field="3" type="button" dataOnly="0" labelOnly="1" outline="0" axis="axisCol" fieldPosition="0"/>
    </format>
    <format dxfId="107">
      <pivotArea dataOnly="0" labelOnly="1" grandRow="1" outline="0" fieldPosition="0"/>
    </format>
    <format dxfId="106">
      <pivotArea dataOnly="0" labelOnly="1" grandCol="1" outline="0" fieldPosition="0"/>
    </format>
    <format dxfId="105">
      <pivotArea outline="0" fieldPosition="0">
        <references count="1">
          <reference field="4294967294" count="1">
            <x v="0"/>
          </reference>
        </references>
      </pivotArea>
    </format>
  </formats>
  <conditionalFormats count="10"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5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4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0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0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5">
    <chartFormat chart="15" format="6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3DCB0-981A-44DF-B3A0-8690016A9161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0" colHeaderCaption="Porcentajes">
  <location ref="B21:D26" firstHeaderRow="0" firstDataRow="1" firstDataCol="1" rowPageCount="1" colPageCount="1"/>
  <pivotFields count="13">
    <pivotField showAll="0"/>
    <pivotField showAll="0"/>
    <pivotField showAll="0"/>
    <pivotField axis="axisRow" showAll="0" sortType="a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axis="axisPage" numFmtId="165" multipleItemSelectionAllowed="1" showAll="0">
      <items count="5">
        <item x="2"/>
        <item x="0"/>
        <item x="1"/>
        <item x="3"/>
        <item t="default"/>
      </items>
    </pivotField>
    <pivotField showAll="0"/>
    <pivotField showAll="0"/>
    <pivotField numFmtId="164" showAll="0"/>
    <pivotField numFmtId="164" showAll="0"/>
    <pivotField numFmtId="164" showAll="0"/>
    <pivotField dataField="1" numFmtId="164" showAll="0"/>
  </pivotFields>
  <rowFields count="1">
    <field x="3"/>
  </rowFields>
  <rowItems count="5">
    <i>
      <x v="2"/>
    </i>
    <i>
      <x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a de Fuga de ingresos" fld="12" baseField="0" baseItem="0" numFmtId="164"/>
    <dataField name="Suma de Fuga de ingresos%" fld="12" showDataAs="percentOfTotal" baseField="0" baseItem="0" numFmtId="10"/>
  </dataFields>
  <formats count="21"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3" type="button" dataOnly="0" labelOnly="1" outline="0" axis="axisRow" fieldPosition="0"/>
    </format>
    <format dxfId="141">
      <pivotArea dataOnly="0" labelOnly="1" grandRow="1" outline="0" fieldPosition="0"/>
    </format>
    <format dxfId="140">
      <pivotArea grandCol="1" outline="0" collapsedLevelsAreSubtotals="1" fieldPosition="0"/>
    </format>
    <format dxfId="139">
      <pivotArea type="topRight" dataOnly="0" labelOnly="1" outline="0" offset="D1" fieldPosition="0"/>
    </format>
    <format dxfId="138">
      <pivotArea dataOnly="0" labelOnly="1" grandCol="1" outline="0" fieldPosition="0"/>
    </format>
    <format dxfId="137">
      <pivotArea type="topRight" dataOnly="0" labelOnly="1" outline="0" offset="D1" fieldPosition="0"/>
    </format>
    <format dxfId="136">
      <pivotArea dataOnly="0" labelOnly="1" grandCol="1" outline="0" fieldPosition="0"/>
    </format>
    <format dxfId="135">
      <pivotArea grandRow="1" grandCol="1" outline="0" collapsedLevelsAreSubtotals="1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type="origin" dataOnly="0" labelOnly="1" outline="0" fieldPosition="0"/>
    </format>
    <format dxfId="131">
      <pivotArea field="6" type="button" dataOnly="0" labelOnly="1" outline="0" axis="axisPage" fieldPosition="0"/>
    </format>
    <format dxfId="130">
      <pivotArea type="topRight" dataOnly="0" labelOnly="1" outline="0" fieldPosition="0"/>
    </format>
    <format dxfId="129">
      <pivotArea field="3" type="button" dataOnly="0" labelOnly="1" outline="0" axis="axisRow" fieldPosition="0"/>
    </format>
    <format dxfId="128">
      <pivotArea dataOnly="0" labelOnly="1" fieldPosition="0">
        <references count="1">
          <reference field="3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6" count="0"/>
        </references>
      </pivotArea>
    </format>
    <format dxfId="125">
      <pivotArea dataOnly="0" labelOnly="1" grandCol="1" outline="0" fieldPosition="0"/>
    </format>
    <format dxfId="124">
      <pivotArea outline="0" fieldPosition="0">
        <references count="1">
          <reference field="4294967294" count="1">
            <x v="1"/>
          </reference>
        </references>
      </pivotArea>
    </format>
  </formats>
  <conditionalFormats count="2">
    <conditionalFormat priority="1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3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6D780-3090-4A5C-BCD1-C945EBCE5BC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2" colHeaderCaption="Porcentajes">
  <location ref="B6:D11" firstHeaderRow="0" firstDataRow="1" firstDataCol="1"/>
  <pivotFields count="13">
    <pivotField showAll="0"/>
    <pivotField showAll="0"/>
    <pivotField showAll="0"/>
    <pivotField axis="axisRow" showAll="0" sortType="a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5" multipleItemSelectionAllowed="1" showAll="0">
      <items count="5">
        <item x="2"/>
        <item x="0"/>
        <item x="1"/>
        <item x="3"/>
        <item t="default"/>
      </items>
    </pivotField>
    <pivotField showAll="0"/>
    <pivotField showAll="0"/>
    <pivotField numFmtId="164" showAll="0"/>
    <pivotField numFmtId="164" showAll="0"/>
    <pivotField dataField="1" numFmtId="164" showAll="0"/>
    <pivotField numFmtId="164" showAll="0"/>
  </pivotFields>
  <rowFields count="1">
    <field x="3"/>
  </rowFields>
  <rowItems count="5">
    <i>
      <x v="2"/>
    </i>
    <i>
      <x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_Neto" fld="11" baseField="0" baseItem="0" numFmtId="164"/>
    <dataField name="Suma de Total_Neto%" fld="11" showDataAs="percentOfTotal" baseField="3" baseItem="0" numFmtId="10"/>
  </dataFields>
  <formats count="21">
    <format dxfId="84">
      <pivotArea type="all" dataOnly="0" outline="0" fieldPosition="0"/>
    </format>
    <format dxfId="85">
      <pivotArea outline="0" collapsedLevelsAreSubtotals="1" fieldPosition="0"/>
    </format>
    <format dxfId="86">
      <pivotArea field="3" type="button" dataOnly="0" labelOnly="1" outline="0" axis="axisRow" fieldPosition="0"/>
    </format>
    <format dxfId="87">
      <pivotArea dataOnly="0" labelOnly="1" grandRow="1" outline="0" fieldPosition="0"/>
    </format>
    <format dxfId="88">
      <pivotArea grandCol="1" outline="0" collapsedLevelsAreSubtotals="1" fieldPosition="0"/>
    </format>
    <format dxfId="89">
      <pivotArea type="topRight" dataOnly="0" labelOnly="1" outline="0" offset="D1" fieldPosition="0"/>
    </format>
    <format dxfId="90">
      <pivotArea dataOnly="0" labelOnly="1" grandCol="1" outline="0" fieldPosition="0"/>
    </format>
    <format dxfId="91">
      <pivotArea type="topRight" dataOnly="0" labelOnly="1" outline="0" offset="D1" fieldPosition="0"/>
    </format>
    <format dxfId="92">
      <pivotArea dataOnly="0" labelOnly="1" grandCol="1" outline="0" fieldPosition="0"/>
    </format>
    <format dxfId="93">
      <pivotArea grandRow="1" grandCol="1" outline="0" collapsedLevelsAreSubtotals="1" fieldPosition="0"/>
    </format>
    <format dxfId="94">
      <pivotArea type="all" dataOnly="0" outline="0" fieldPosition="0"/>
    </format>
    <format dxfId="95">
      <pivotArea outline="0" collapsedLevelsAreSubtotals="1" fieldPosition="0"/>
    </format>
    <format dxfId="96">
      <pivotArea type="origin" dataOnly="0" labelOnly="1" outline="0" fieldPosition="0"/>
    </format>
    <format dxfId="97">
      <pivotArea field="6" type="button" dataOnly="0" labelOnly="1" outline="0"/>
    </format>
    <format dxfId="98">
      <pivotArea type="topRight" dataOnly="0" labelOnly="1" outline="0" fieldPosition="0"/>
    </format>
    <format dxfId="99">
      <pivotArea field="3" type="button" dataOnly="0" labelOnly="1" outline="0" axis="axisRow" fieldPosition="0"/>
    </format>
    <format dxfId="100">
      <pivotArea dataOnly="0" labelOnly="1" fieldPosition="0">
        <references count="1">
          <reference field="3" count="0"/>
        </references>
      </pivotArea>
    </format>
    <format dxfId="101">
      <pivotArea dataOnly="0" labelOnly="1" grandRow="1" outline="0" fieldPosition="0"/>
    </format>
    <format dxfId="102">
      <pivotArea dataOnly="0" labelOnly="1" grandCol="1" outline="0" fieldPosition="0"/>
    </format>
    <format dxfId="103">
      <pivotArea outline="0" fieldPosition="0">
        <references count="1">
          <reference field="4294967294" count="1">
            <x v="0"/>
          </reference>
        </references>
      </pivotArea>
    </format>
    <format dxfId="104">
      <pivotArea outline="0" fieldPosition="0">
        <references count="1">
          <reference field="4294967294" count="1">
            <x v="1"/>
          </reference>
        </references>
      </pivotArea>
    </format>
  </formats>
  <conditionalFormats count="3">
    <conditionalFormat priority="1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1">
            <reference field="3" count="4">
              <x v="0"/>
              <x v="1"/>
              <x v="2"/>
              <x v="3"/>
            </reference>
          </references>
        </pivotArea>
      </pivotAreas>
    </conditionalFormat>
    <conditionalFormat priority="2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chartFormats count="3">
    <chartFormat chart="15" format="6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_Venta" xr10:uid="{639C7116-554D-438D-9A1A-82E2BEFED782}" sourceName="Canal_Venta">
  <pivotTables>
    <pivotTable tabId="4" name="TablaDinámica1"/>
    <pivotTable tabId="4" name="TablaDinámica2"/>
    <pivotTable tabId="4" name="TablaDinámica3"/>
  </pivotTables>
  <data>
    <tabular pivotCacheId="1995673122">
      <items count="4">
        <i x="3" s="1"/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uento" xr10:uid="{4AD0F5F3-655A-4065-AE4B-BB1AB5968DFD}" sourceName="Descuento_%">
  <pivotTables>
    <pivotTable tabId="4" name="TablaDinámica2"/>
  </pivotTables>
  <data>
    <tabular pivotCacheId="1995673122">
      <items count="4">
        <i x="2" s="1"/>
        <i x="0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B7781C11-5F12-4629-8E0F-3FC1969EFE92}" sourceName="Ciudad">
  <pivotTables>
    <pivotTable tabId="4" name="TablaDinámica3"/>
  </pivotTables>
  <data>
    <tabular pivotCacheId="1995673122">
      <items count="6">
        <i x="3" s="1"/>
        <i x="1" s="1"/>
        <i x="0" s="1"/>
        <i x="5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nal_Venta" xr10:uid="{D9E6BE29-F66E-42CF-9E14-F7F0A55E9FAF}" cache="SegmentaciónDeDatos_Canal_Venta" caption="Canal_Venta" rowHeight="241300"/>
  <slicer name="Canal_Venta 1" xr10:uid="{F0C57C85-DA44-4DCE-9DDD-475B2E8B53C7}" cache="SegmentaciónDeDatos_Canal_Venta" caption="Canal_Venta" rowHeight="241300"/>
  <slicer name="Descuento_%" xr10:uid="{4D05DCE1-61F2-465D-BF79-F11681C28FE2}" cache="SegmentaciónDeDatos_Descuento" caption="Descuento_%" rowHeight="241300"/>
  <slicer name="Descuento_% 1" xr10:uid="{73AA014A-7460-41E5-9A70-FF64C1BC2927}" cache="SegmentaciónDeDatos_Descuento" caption="Descuento_%" rowHeight="241300"/>
  <slicer name="Ciudad" xr10:uid="{A7943A96-3C7F-4CB0-9902-C9492F6FF5F1}" cache="SegmentaciónDeDatos_Ciudad" caption="Ciudad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2"/>
  <sheetViews>
    <sheetView topLeftCell="B1" workbookViewId="0">
      <pane ySplit="1" topLeftCell="A230" activePane="bottomLeft" state="frozen"/>
      <selection pane="bottomLeft" activeCell="G256" sqref="G256"/>
    </sheetView>
  </sheetViews>
  <sheetFormatPr baseColWidth="10" defaultColWidth="9.140625" defaultRowHeight="15" x14ac:dyDescent="0.25"/>
  <cols>
    <col min="1" max="2" width="14" customWidth="1"/>
    <col min="3" max="3" width="16" customWidth="1"/>
    <col min="4" max="4" width="17" customWidth="1"/>
    <col min="5" max="5" width="14" customWidth="1"/>
    <col min="6" max="6" width="8.85546875" bestFit="1" customWidth="1"/>
    <col min="7" max="7" width="13" bestFit="1" customWidth="1"/>
    <col min="8" max="8" width="25.42578125" bestFit="1" customWidth="1"/>
    <col min="9" max="9" width="10.42578125" bestFit="1" customWidth="1"/>
    <col min="10" max="10" width="14.85546875" bestFit="1" customWidth="1"/>
    <col min="11" max="11" width="15" customWidth="1"/>
    <col min="12" max="12" width="18" customWidth="1"/>
    <col min="13" max="13" width="15.7109375" bestFit="1" customWidth="1"/>
    <col min="14" max="14" width="10.85546875" bestFit="1" customWidth="1"/>
    <col min="15" max="15" width="11.7109375" bestFit="1" customWidth="1"/>
    <col min="16" max="16" width="1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458</v>
      </c>
    </row>
    <row r="2" spans="1:16" x14ac:dyDescent="0.25">
      <c r="A2" s="2" t="s">
        <v>12</v>
      </c>
      <c r="B2" s="2" t="s">
        <v>13</v>
      </c>
      <c r="C2" s="3" t="s">
        <v>14</v>
      </c>
      <c r="D2" s="3" t="s">
        <v>15</v>
      </c>
      <c r="E2" s="2" t="s">
        <v>16</v>
      </c>
      <c r="F2" s="4">
        <v>4</v>
      </c>
      <c r="G2" s="5">
        <v>0.05</v>
      </c>
      <c r="H2" s="3" t="str" cm="1">
        <f t="array" ref="H2:J2">_xlfn.XLOOKUP(E2,Catálogo_Productos!$A:$A,Catálogo_Productos!$B:$D,"producto no encontrado")</f>
        <v>Micrófono USB Studio</v>
      </c>
      <c r="I2" s="3" t="str">
        <v>Audio</v>
      </c>
      <c r="J2" s="6">
        <v>130</v>
      </c>
      <c r="K2" s="6">
        <f t="shared" ref="K2:K65" si="0">F2*J2</f>
        <v>520</v>
      </c>
      <c r="L2" s="6">
        <f t="shared" ref="L2:L65" si="1">K2*(1-G2)</f>
        <v>494</v>
      </c>
      <c r="M2" s="19">
        <f>K2-L2</f>
        <v>26</v>
      </c>
    </row>
    <row r="3" spans="1:16" x14ac:dyDescent="0.25">
      <c r="A3" s="2" t="s">
        <v>17</v>
      </c>
      <c r="B3" s="2" t="s">
        <v>18</v>
      </c>
      <c r="C3" s="3" t="s">
        <v>19</v>
      </c>
      <c r="D3" s="3" t="s">
        <v>20</v>
      </c>
      <c r="E3" s="2" t="s">
        <v>16</v>
      </c>
      <c r="F3" s="4">
        <v>2</v>
      </c>
      <c r="G3" s="5">
        <v>0.1</v>
      </c>
      <c r="H3" s="3" t="str" cm="1">
        <f t="array" ref="H3:J3">_xlfn.XLOOKUP(E3,Catálogo_Productos!$A:$A,Catálogo_Productos!$B:$D,"producto no encontrado")</f>
        <v>Micrófono USB Studio</v>
      </c>
      <c r="I3" s="3" t="str">
        <v>Audio</v>
      </c>
      <c r="J3" s="6">
        <v>130</v>
      </c>
      <c r="K3" s="6">
        <f t="shared" si="0"/>
        <v>260</v>
      </c>
      <c r="L3" s="6">
        <f t="shared" si="1"/>
        <v>234</v>
      </c>
      <c r="M3" s="19">
        <f t="shared" ref="M3:M66" si="2">K3-L3</f>
        <v>26</v>
      </c>
      <c r="O3" s="8"/>
    </row>
    <row r="4" spans="1:16" x14ac:dyDescent="0.25">
      <c r="A4" s="2" t="s">
        <v>21</v>
      </c>
      <c r="B4" s="2" t="s">
        <v>22</v>
      </c>
      <c r="C4" s="3" t="s">
        <v>23</v>
      </c>
      <c r="D4" s="3" t="s">
        <v>20</v>
      </c>
      <c r="E4" s="2" t="s">
        <v>24</v>
      </c>
      <c r="F4" s="4">
        <v>5</v>
      </c>
      <c r="G4" s="5">
        <v>0</v>
      </c>
      <c r="H4" s="3" t="str" cm="1">
        <f t="array" ref="H4:J4">_xlfn.XLOOKUP(E4,Catálogo_Productos!$A:$A,Catálogo_Productos!$B:$D,"producto no encontrado")</f>
        <v>Silla Ergonómica</v>
      </c>
      <c r="I4" s="3" t="str">
        <v>Mobiliario</v>
      </c>
      <c r="J4" s="6">
        <v>280</v>
      </c>
      <c r="K4" s="6">
        <f t="shared" si="0"/>
        <v>1400</v>
      </c>
      <c r="L4" s="6">
        <f t="shared" si="1"/>
        <v>1400</v>
      </c>
      <c r="M4" s="19">
        <f t="shared" si="2"/>
        <v>0</v>
      </c>
    </row>
    <row r="5" spans="1:16" x14ac:dyDescent="0.25">
      <c r="A5" s="2" t="s">
        <v>25</v>
      </c>
      <c r="B5" s="2" t="s">
        <v>26</v>
      </c>
      <c r="C5" s="3" t="s">
        <v>27</v>
      </c>
      <c r="D5" s="3" t="s">
        <v>20</v>
      </c>
      <c r="E5" s="2" t="s">
        <v>28</v>
      </c>
      <c r="F5" s="4">
        <v>2</v>
      </c>
      <c r="G5" s="5">
        <v>0</v>
      </c>
      <c r="H5" s="3" t="str" cm="1">
        <f t="array" ref="H5:J5">_xlfn.XLOOKUP(E5,Catálogo_Productos!$A:$A,Catálogo_Productos!$B:$D,"producto no encontrado")</f>
        <v>Laptop Pro 15</v>
      </c>
      <c r="I5" s="3" t="str">
        <v>Tecnología</v>
      </c>
      <c r="J5" s="6">
        <v>1200</v>
      </c>
      <c r="K5" s="6">
        <f t="shared" si="0"/>
        <v>2400</v>
      </c>
      <c r="L5" s="6">
        <f t="shared" si="1"/>
        <v>2400</v>
      </c>
      <c r="M5" s="19">
        <f t="shared" si="2"/>
        <v>0</v>
      </c>
    </row>
    <row r="6" spans="1:16" x14ac:dyDescent="0.25">
      <c r="A6" s="2" t="s">
        <v>29</v>
      </c>
      <c r="B6" s="2" t="s">
        <v>30</v>
      </c>
      <c r="C6" s="3" t="s">
        <v>31</v>
      </c>
      <c r="D6" s="3" t="s">
        <v>15</v>
      </c>
      <c r="E6" s="2" t="s">
        <v>32</v>
      </c>
      <c r="F6" s="4">
        <v>4</v>
      </c>
      <c r="G6" s="5">
        <v>0.1</v>
      </c>
      <c r="H6" s="3" t="str" cm="1">
        <f t="array" ref="H6:J6">_xlfn.XLOOKUP(E6,Catálogo_Productos!$A:$A,Catálogo_Productos!$B:$D,"producto no encontrado")</f>
        <v>Mouse Inalámbrico Pro</v>
      </c>
      <c r="I6" s="3" t="str">
        <v>Accesorios</v>
      </c>
      <c r="J6" s="6">
        <v>45</v>
      </c>
      <c r="K6" s="6">
        <f t="shared" si="0"/>
        <v>180</v>
      </c>
      <c r="L6" s="6">
        <f t="shared" si="1"/>
        <v>162</v>
      </c>
      <c r="M6" s="19">
        <f t="shared" si="2"/>
        <v>18</v>
      </c>
    </row>
    <row r="7" spans="1:16" x14ac:dyDescent="0.25">
      <c r="A7" s="2" t="s">
        <v>33</v>
      </c>
      <c r="B7" s="2" t="s">
        <v>34</v>
      </c>
      <c r="C7" s="3" t="s">
        <v>19</v>
      </c>
      <c r="D7" s="3" t="s">
        <v>20</v>
      </c>
      <c r="E7" s="2" t="s">
        <v>35</v>
      </c>
      <c r="F7" s="4">
        <v>3</v>
      </c>
      <c r="G7" s="5">
        <v>0.05</v>
      </c>
      <c r="H7" s="3" t="str" cm="1">
        <f t="array" ref="H7:J7">_xlfn.XLOOKUP(E7,Catálogo_Productos!$A:$A,Catálogo_Productos!$B:$D,"producto no encontrado")</f>
        <v>Audífonos Noise Cancelling</v>
      </c>
      <c r="I7" s="3" t="str">
        <v>Audio</v>
      </c>
      <c r="J7" s="6">
        <v>190</v>
      </c>
      <c r="K7" s="6">
        <f t="shared" si="0"/>
        <v>570</v>
      </c>
      <c r="L7" s="6">
        <f t="shared" si="1"/>
        <v>541.5</v>
      </c>
      <c r="M7" s="19">
        <f t="shared" si="2"/>
        <v>28.5</v>
      </c>
      <c r="N7" s="10"/>
      <c r="P7" s="9"/>
    </row>
    <row r="8" spans="1:16" x14ac:dyDescent="0.25">
      <c r="A8" s="2" t="s">
        <v>36</v>
      </c>
      <c r="B8" s="2" t="s">
        <v>37</v>
      </c>
      <c r="C8" s="3" t="s">
        <v>23</v>
      </c>
      <c r="D8" s="3" t="s">
        <v>15</v>
      </c>
      <c r="E8" s="2" t="s">
        <v>16</v>
      </c>
      <c r="F8" s="4">
        <v>2</v>
      </c>
      <c r="G8" s="5">
        <v>0</v>
      </c>
      <c r="H8" s="3" t="str" cm="1">
        <f t="array" ref="H8:J8">_xlfn.XLOOKUP(E8,Catálogo_Productos!$A:$A,Catálogo_Productos!$B:$D,"producto no encontrado")</f>
        <v>Micrófono USB Studio</v>
      </c>
      <c r="I8" s="3" t="str">
        <v>Audio</v>
      </c>
      <c r="J8" s="6">
        <v>130</v>
      </c>
      <c r="K8" s="6">
        <f t="shared" si="0"/>
        <v>260</v>
      </c>
      <c r="L8" s="6">
        <f t="shared" si="1"/>
        <v>260</v>
      </c>
      <c r="M8" s="19">
        <f t="shared" si="2"/>
        <v>0</v>
      </c>
      <c r="P8" s="9"/>
    </row>
    <row r="9" spans="1:16" x14ac:dyDescent="0.25">
      <c r="A9" s="2" t="s">
        <v>38</v>
      </c>
      <c r="B9" s="2" t="s">
        <v>39</v>
      </c>
      <c r="C9" s="3" t="s">
        <v>23</v>
      </c>
      <c r="D9" s="3" t="s">
        <v>40</v>
      </c>
      <c r="E9" s="2" t="s">
        <v>32</v>
      </c>
      <c r="F9" s="4">
        <v>5</v>
      </c>
      <c r="G9" s="5">
        <v>0</v>
      </c>
      <c r="H9" s="3" t="str" cm="1">
        <f t="array" ref="H9:J9">_xlfn.XLOOKUP(E9,Catálogo_Productos!$A:$A,Catálogo_Productos!$B:$D,"producto no encontrado")</f>
        <v>Mouse Inalámbrico Pro</v>
      </c>
      <c r="I9" s="3" t="str">
        <v>Accesorios</v>
      </c>
      <c r="J9" s="6">
        <v>45</v>
      </c>
      <c r="K9" s="6">
        <f t="shared" si="0"/>
        <v>225</v>
      </c>
      <c r="L9" s="6">
        <f t="shared" si="1"/>
        <v>225</v>
      </c>
      <c r="M9" s="19">
        <f t="shared" si="2"/>
        <v>0</v>
      </c>
      <c r="P9" s="9"/>
    </row>
    <row r="10" spans="1:16" x14ac:dyDescent="0.25">
      <c r="A10" s="2" t="s">
        <v>41</v>
      </c>
      <c r="B10" s="2" t="s">
        <v>42</v>
      </c>
      <c r="C10" s="3" t="s">
        <v>43</v>
      </c>
      <c r="D10" s="3" t="s">
        <v>15</v>
      </c>
      <c r="E10" s="2" t="s">
        <v>16</v>
      </c>
      <c r="F10" s="4">
        <v>7</v>
      </c>
      <c r="G10" s="5">
        <v>0.1</v>
      </c>
      <c r="H10" s="3" t="str" cm="1">
        <f t="array" ref="H10:J10">_xlfn.XLOOKUP(E10,Catálogo_Productos!$A:$A,Catálogo_Productos!$B:$D,"producto no encontrado")</f>
        <v>Micrófono USB Studio</v>
      </c>
      <c r="I10" s="3" t="str">
        <v>Audio</v>
      </c>
      <c r="J10" s="6">
        <v>130</v>
      </c>
      <c r="K10" s="6">
        <f t="shared" si="0"/>
        <v>910</v>
      </c>
      <c r="L10" s="6">
        <f t="shared" si="1"/>
        <v>819</v>
      </c>
      <c r="M10" s="19">
        <f t="shared" si="2"/>
        <v>91</v>
      </c>
      <c r="N10" s="10"/>
      <c r="P10" s="9"/>
    </row>
    <row r="11" spans="1:16" x14ac:dyDescent="0.25">
      <c r="A11" s="2" t="s">
        <v>44</v>
      </c>
      <c r="B11" s="2" t="s">
        <v>45</v>
      </c>
      <c r="C11" s="3" t="s">
        <v>23</v>
      </c>
      <c r="D11" s="3" t="s">
        <v>20</v>
      </c>
      <c r="E11" s="2" t="s">
        <v>16</v>
      </c>
      <c r="F11" s="4">
        <v>5</v>
      </c>
      <c r="G11" s="5">
        <v>0.05</v>
      </c>
      <c r="H11" s="3" t="str" cm="1">
        <f t="array" ref="H11:J11">_xlfn.XLOOKUP(E11,Catálogo_Productos!$A:$A,Catálogo_Productos!$B:$D,"producto no encontrado")</f>
        <v>Micrófono USB Studio</v>
      </c>
      <c r="I11" s="3" t="str">
        <v>Audio</v>
      </c>
      <c r="J11" s="6">
        <v>130</v>
      </c>
      <c r="K11" s="6">
        <f t="shared" si="0"/>
        <v>650</v>
      </c>
      <c r="L11" s="6">
        <f t="shared" si="1"/>
        <v>617.5</v>
      </c>
      <c r="M11" s="19">
        <f t="shared" si="2"/>
        <v>32.5</v>
      </c>
      <c r="P11" s="9"/>
    </row>
    <row r="12" spans="1:16" x14ac:dyDescent="0.25">
      <c r="A12" s="2" t="s">
        <v>46</v>
      </c>
      <c r="B12" s="2" t="s">
        <v>47</v>
      </c>
      <c r="C12" s="3" t="s">
        <v>14</v>
      </c>
      <c r="D12" s="3" t="s">
        <v>40</v>
      </c>
      <c r="E12" s="2" t="s">
        <v>28</v>
      </c>
      <c r="F12" s="4">
        <v>4</v>
      </c>
      <c r="G12" s="5">
        <v>0.15</v>
      </c>
      <c r="H12" s="3" t="str" cm="1">
        <f t="array" ref="H12:J12">_xlfn.XLOOKUP(E12,Catálogo_Productos!$A:$A,Catálogo_Productos!$B:$D,"producto no encontrado")</f>
        <v>Laptop Pro 15</v>
      </c>
      <c r="I12" s="3" t="str">
        <v>Tecnología</v>
      </c>
      <c r="J12" s="6">
        <v>1200</v>
      </c>
      <c r="K12" s="6">
        <f t="shared" si="0"/>
        <v>4800</v>
      </c>
      <c r="L12" s="6">
        <f t="shared" si="1"/>
        <v>4080</v>
      </c>
      <c r="M12" s="19">
        <f t="shared" si="2"/>
        <v>720</v>
      </c>
    </row>
    <row r="13" spans="1:16" x14ac:dyDescent="0.25">
      <c r="A13" s="2" t="s">
        <v>48</v>
      </c>
      <c r="B13" s="2" t="s">
        <v>49</v>
      </c>
      <c r="C13" s="3" t="s">
        <v>43</v>
      </c>
      <c r="D13" s="3" t="s">
        <v>15</v>
      </c>
      <c r="E13" s="2" t="s">
        <v>24</v>
      </c>
      <c r="F13" s="4">
        <v>5</v>
      </c>
      <c r="G13" s="5">
        <v>0</v>
      </c>
      <c r="H13" s="3" t="str" cm="1">
        <f t="array" ref="H13:J13">_xlfn.XLOOKUP(E13,Catálogo_Productos!$A:$A,Catálogo_Productos!$B:$D,"producto no encontrado")</f>
        <v>Silla Ergonómica</v>
      </c>
      <c r="I13" s="3" t="str">
        <v>Mobiliario</v>
      </c>
      <c r="J13" s="6">
        <v>280</v>
      </c>
      <c r="K13" s="6">
        <f t="shared" si="0"/>
        <v>1400</v>
      </c>
      <c r="L13" s="6">
        <f t="shared" si="1"/>
        <v>1400</v>
      </c>
      <c r="M13" s="19">
        <f t="shared" si="2"/>
        <v>0</v>
      </c>
    </row>
    <row r="14" spans="1:16" x14ac:dyDescent="0.25">
      <c r="A14" s="2" t="s">
        <v>50</v>
      </c>
      <c r="B14" s="2" t="s">
        <v>51</v>
      </c>
      <c r="C14" s="3" t="s">
        <v>43</v>
      </c>
      <c r="D14" s="3" t="s">
        <v>52</v>
      </c>
      <c r="E14" s="2" t="s">
        <v>24</v>
      </c>
      <c r="F14" s="4">
        <v>5</v>
      </c>
      <c r="G14" s="5">
        <v>0</v>
      </c>
      <c r="H14" s="3" t="str" cm="1">
        <f t="array" ref="H14:J14">_xlfn.XLOOKUP(E14,Catálogo_Productos!$A:$A,Catálogo_Productos!$B:$D,"producto no encontrado")</f>
        <v>Silla Ergonómica</v>
      </c>
      <c r="I14" s="3" t="str">
        <v>Mobiliario</v>
      </c>
      <c r="J14" s="6">
        <v>280</v>
      </c>
      <c r="K14" s="6">
        <f t="shared" si="0"/>
        <v>1400</v>
      </c>
      <c r="L14" s="6">
        <f t="shared" si="1"/>
        <v>1400</v>
      </c>
      <c r="M14" s="19">
        <f t="shared" si="2"/>
        <v>0</v>
      </c>
    </row>
    <row r="15" spans="1:16" x14ac:dyDescent="0.25">
      <c r="A15" s="2" t="s">
        <v>53</v>
      </c>
      <c r="B15" s="2" t="s">
        <v>54</v>
      </c>
      <c r="C15" s="3" t="s">
        <v>31</v>
      </c>
      <c r="D15" s="3" t="s">
        <v>20</v>
      </c>
      <c r="E15" s="2" t="s">
        <v>32</v>
      </c>
      <c r="F15" s="4">
        <v>7</v>
      </c>
      <c r="G15" s="5">
        <v>0</v>
      </c>
      <c r="H15" s="3" t="str" cm="1">
        <f t="array" ref="H15:J15">_xlfn.XLOOKUP(E15,Catálogo_Productos!$A:$A,Catálogo_Productos!$B:$D,"producto no encontrado")</f>
        <v>Mouse Inalámbrico Pro</v>
      </c>
      <c r="I15" s="3" t="str">
        <v>Accesorios</v>
      </c>
      <c r="J15" s="6">
        <v>45</v>
      </c>
      <c r="K15" s="6">
        <f t="shared" si="0"/>
        <v>315</v>
      </c>
      <c r="L15" s="6">
        <f t="shared" si="1"/>
        <v>315</v>
      </c>
      <c r="M15" s="19">
        <f t="shared" si="2"/>
        <v>0</v>
      </c>
    </row>
    <row r="16" spans="1:16" x14ac:dyDescent="0.25">
      <c r="A16" s="2" t="s">
        <v>55</v>
      </c>
      <c r="B16" s="2" t="s">
        <v>56</v>
      </c>
      <c r="C16" s="3" t="s">
        <v>27</v>
      </c>
      <c r="D16" s="3" t="s">
        <v>15</v>
      </c>
      <c r="E16" s="2" t="s">
        <v>57</v>
      </c>
      <c r="F16" s="4">
        <v>3</v>
      </c>
      <c r="G16" s="5">
        <v>0</v>
      </c>
      <c r="H16" s="3" t="str" cm="1">
        <f t="array" ref="H16:J16">_xlfn.XLOOKUP(E16,Catálogo_Productos!$A:$A,Catálogo_Productos!$B:$D,"producto no encontrado")</f>
        <v>Escritorio Elevable</v>
      </c>
      <c r="I16" s="3" t="str">
        <v>Mobiliario</v>
      </c>
      <c r="J16" s="6">
        <v>420</v>
      </c>
      <c r="K16" s="6">
        <f t="shared" si="0"/>
        <v>1260</v>
      </c>
      <c r="L16" s="6">
        <f t="shared" si="1"/>
        <v>1260</v>
      </c>
      <c r="M16" s="19">
        <f t="shared" si="2"/>
        <v>0</v>
      </c>
    </row>
    <row r="17" spans="1:13" x14ac:dyDescent="0.25">
      <c r="A17" s="2" t="s">
        <v>58</v>
      </c>
      <c r="B17" s="2" t="s">
        <v>59</v>
      </c>
      <c r="C17" s="3" t="s">
        <v>27</v>
      </c>
      <c r="D17" s="3" t="s">
        <v>15</v>
      </c>
      <c r="E17" s="2" t="s">
        <v>60</v>
      </c>
      <c r="F17" s="4">
        <v>2</v>
      </c>
      <c r="G17" s="5">
        <v>0</v>
      </c>
      <c r="H17" s="3" t="str" cm="1">
        <f t="array" ref="H17:J17">_xlfn.XLOOKUP(E17,Catálogo_Productos!$A:$A,Catálogo_Productos!$B:$D,"producto no encontrado")</f>
        <v>Teclado Mecánico RGB</v>
      </c>
      <c r="I17" s="3" t="str">
        <v>Accesorios</v>
      </c>
      <c r="J17" s="6">
        <v>85</v>
      </c>
      <c r="K17" s="6">
        <f t="shared" si="0"/>
        <v>170</v>
      </c>
      <c r="L17" s="6">
        <f t="shared" si="1"/>
        <v>170</v>
      </c>
      <c r="M17" s="19">
        <f t="shared" si="2"/>
        <v>0</v>
      </c>
    </row>
    <row r="18" spans="1:13" x14ac:dyDescent="0.25">
      <c r="A18" s="2" t="s">
        <v>61</v>
      </c>
      <c r="B18" s="2" t="s">
        <v>62</v>
      </c>
      <c r="C18" s="3" t="s">
        <v>14</v>
      </c>
      <c r="D18" s="3" t="s">
        <v>40</v>
      </c>
      <c r="E18" s="2" t="s">
        <v>24</v>
      </c>
      <c r="F18" s="4">
        <v>7</v>
      </c>
      <c r="G18" s="5">
        <v>0</v>
      </c>
      <c r="H18" s="3" t="str" cm="1">
        <f t="array" ref="H18:J18">_xlfn.XLOOKUP(E18,Catálogo_Productos!$A:$A,Catálogo_Productos!$B:$D,"producto no encontrado")</f>
        <v>Silla Ergonómica</v>
      </c>
      <c r="I18" s="3" t="str">
        <v>Mobiliario</v>
      </c>
      <c r="J18" s="6">
        <v>280</v>
      </c>
      <c r="K18" s="6">
        <f t="shared" si="0"/>
        <v>1960</v>
      </c>
      <c r="L18" s="6">
        <f t="shared" si="1"/>
        <v>1960</v>
      </c>
      <c r="M18" s="19">
        <f t="shared" si="2"/>
        <v>0</v>
      </c>
    </row>
    <row r="19" spans="1:13" x14ac:dyDescent="0.25">
      <c r="A19" s="2" t="s">
        <v>63</v>
      </c>
      <c r="B19" s="2" t="s">
        <v>64</v>
      </c>
      <c r="C19" s="3" t="s">
        <v>14</v>
      </c>
      <c r="D19" s="3" t="s">
        <v>40</v>
      </c>
      <c r="E19" s="2" t="s">
        <v>32</v>
      </c>
      <c r="F19" s="4">
        <v>7</v>
      </c>
      <c r="G19" s="5">
        <v>0.05</v>
      </c>
      <c r="H19" s="3" t="str" cm="1">
        <f t="array" ref="H19:J19">_xlfn.XLOOKUP(E19,Catálogo_Productos!$A:$A,Catálogo_Productos!$B:$D,"producto no encontrado")</f>
        <v>Mouse Inalámbrico Pro</v>
      </c>
      <c r="I19" s="3" t="str">
        <v>Accesorios</v>
      </c>
      <c r="J19" s="6">
        <v>45</v>
      </c>
      <c r="K19" s="6">
        <f t="shared" si="0"/>
        <v>315</v>
      </c>
      <c r="L19" s="6">
        <f t="shared" si="1"/>
        <v>299.25</v>
      </c>
      <c r="M19" s="19">
        <f t="shared" si="2"/>
        <v>15.75</v>
      </c>
    </row>
    <row r="20" spans="1:13" x14ac:dyDescent="0.25">
      <c r="A20" s="2" t="s">
        <v>65</v>
      </c>
      <c r="B20" s="2" t="s">
        <v>66</v>
      </c>
      <c r="C20" s="3" t="s">
        <v>43</v>
      </c>
      <c r="D20" s="3" t="s">
        <v>20</v>
      </c>
      <c r="E20" s="2" t="s">
        <v>24</v>
      </c>
      <c r="F20" s="4">
        <v>4</v>
      </c>
      <c r="G20" s="5">
        <v>0</v>
      </c>
      <c r="H20" s="3" t="str" cm="1">
        <f t="array" ref="H20:J20">_xlfn.XLOOKUP(E20,Catálogo_Productos!$A:$A,Catálogo_Productos!$B:$D,"producto no encontrado")</f>
        <v>Silla Ergonómica</v>
      </c>
      <c r="I20" s="3" t="str">
        <v>Mobiliario</v>
      </c>
      <c r="J20" s="6">
        <v>280</v>
      </c>
      <c r="K20" s="6">
        <f t="shared" si="0"/>
        <v>1120</v>
      </c>
      <c r="L20" s="6">
        <f t="shared" si="1"/>
        <v>1120</v>
      </c>
      <c r="M20" s="19">
        <f t="shared" si="2"/>
        <v>0</v>
      </c>
    </row>
    <row r="21" spans="1:13" x14ac:dyDescent="0.25">
      <c r="A21" s="2" t="s">
        <v>67</v>
      </c>
      <c r="B21" s="2" t="s">
        <v>68</v>
      </c>
      <c r="C21" s="3" t="s">
        <v>14</v>
      </c>
      <c r="D21" s="3" t="s">
        <v>52</v>
      </c>
      <c r="E21" s="2" t="s">
        <v>57</v>
      </c>
      <c r="F21" s="4">
        <v>7</v>
      </c>
      <c r="G21" s="5">
        <v>0.05</v>
      </c>
      <c r="H21" s="3" t="str" cm="1">
        <f t="array" ref="H21:J21">_xlfn.XLOOKUP(E21,Catálogo_Productos!$A:$A,Catálogo_Productos!$B:$D,"producto no encontrado")</f>
        <v>Escritorio Elevable</v>
      </c>
      <c r="I21" s="3" t="str">
        <v>Mobiliario</v>
      </c>
      <c r="J21" s="6">
        <v>420</v>
      </c>
      <c r="K21" s="6">
        <f t="shared" si="0"/>
        <v>2940</v>
      </c>
      <c r="L21" s="6">
        <f t="shared" si="1"/>
        <v>2793</v>
      </c>
      <c r="M21" s="19">
        <f t="shared" si="2"/>
        <v>147</v>
      </c>
    </row>
    <row r="22" spans="1:13" x14ac:dyDescent="0.25">
      <c r="A22" s="2" t="s">
        <v>69</v>
      </c>
      <c r="B22" s="2" t="s">
        <v>70</v>
      </c>
      <c r="C22" s="3" t="s">
        <v>23</v>
      </c>
      <c r="D22" s="3" t="s">
        <v>15</v>
      </c>
      <c r="E22" s="2" t="s">
        <v>57</v>
      </c>
      <c r="F22" s="4">
        <v>2</v>
      </c>
      <c r="G22" s="5">
        <v>0.05</v>
      </c>
      <c r="H22" s="3" t="str" cm="1">
        <f t="array" ref="H22:J22">_xlfn.XLOOKUP(E22,Catálogo_Productos!$A:$A,Catálogo_Productos!$B:$D,"producto no encontrado")</f>
        <v>Escritorio Elevable</v>
      </c>
      <c r="I22" s="3" t="str">
        <v>Mobiliario</v>
      </c>
      <c r="J22" s="6">
        <v>420</v>
      </c>
      <c r="K22" s="6">
        <f t="shared" si="0"/>
        <v>840</v>
      </c>
      <c r="L22" s="6">
        <f t="shared" si="1"/>
        <v>798</v>
      </c>
      <c r="M22" s="19">
        <f t="shared" si="2"/>
        <v>42</v>
      </c>
    </row>
    <row r="23" spans="1:13" x14ac:dyDescent="0.25">
      <c r="A23" s="2" t="s">
        <v>71</v>
      </c>
      <c r="B23" s="2" t="s">
        <v>72</v>
      </c>
      <c r="C23" s="3" t="s">
        <v>31</v>
      </c>
      <c r="D23" s="3" t="s">
        <v>15</v>
      </c>
      <c r="E23" s="2" t="s">
        <v>24</v>
      </c>
      <c r="F23" s="4">
        <v>4</v>
      </c>
      <c r="G23" s="5">
        <v>0</v>
      </c>
      <c r="H23" s="3" t="str" cm="1">
        <f t="array" ref="H23:J23">_xlfn.XLOOKUP(E23,Catálogo_Productos!$A:$A,Catálogo_Productos!$B:$D,"producto no encontrado")</f>
        <v>Silla Ergonómica</v>
      </c>
      <c r="I23" s="3" t="str">
        <v>Mobiliario</v>
      </c>
      <c r="J23" s="6">
        <v>280</v>
      </c>
      <c r="K23" s="6">
        <f t="shared" si="0"/>
        <v>1120</v>
      </c>
      <c r="L23" s="6">
        <f t="shared" si="1"/>
        <v>1120</v>
      </c>
      <c r="M23" s="19">
        <f t="shared" si="2"/>
        <v>0</v>
      </c>
    </row>
    <row r="24" spans="1:13" x14ac:dyDescent="0.25">
      <c r="A24" s="2" t="s">
        <v>73</v>
      </c>
      <c r="B24" s="2" t="s">
        <v>74</v>
      </c>
      <c r="C24" s="3" t="s">
        <v>31</v>
      </c>
      <c r="D24" s="3" t="s">
        <v>15</v>
      </c>
      <c r="E24" s="2" t="s">
        <v>60</v>
      </c>
      <c r="F24" s="4">
        <v>6</v>
      </c>
      <c r="G24" s="5">
        <v>0.15</v>
      </c>
      <c r="H24" s="3" t="str" cm="1">
        <f t="array" ref="H24:J24">_xlfn.XLOOKUP(E24,Catálogo_Productos!$A:$A,Catálogo_Productos!$B:$D,"producto no encontrado")</f>
        <v>Teclado Mecánico RGB</v>
      </c>
      <c r="I24" s="3" t="str">
        <v>Accesorios</v>
      </c>
      <c r="J24" s="6">
        <v>85</v>
      </c>
      <c r="K24" s="6">
        <f t="shared" si="0"/>
        <v>510</v>
      </c>
      <c r="L24" s="6">
        <f t="shared" si="1"/>
        <v>433.5</v>
      </c>
      <c r="M24" s="19">
        <f t="shared" si="2"/>
        <v>76.5</v>
      </c>
    </row>
    <row r="25" spans="1:13" x14ac:dyDescent="0.25">
      <c r="A25" s="2" t="s">
        <v>75</v>
      </c>
      <c r="B25" s="2" t="s">
        <v>76</v>
      </c>
      <c r="C25" s="3" t="s">
        <v>19</v>
      </c>
      <c r="D25" s="3" t="s">
        <v>40</v>
      </c>
      <c r="E25" s="2" t="s">
        <v>24</v>
      </c>
      <c r="F25" s="4">
        <v>6</v>
      </c>
      <c r="G25" s="5">
        <v>0.15</v>
      </c>
      <c r="H25" s="3" t="str" cm="1">
        <f t="array" ref="H25:J25">_xlfn.XLOOKUP(E25,Catálogo_Productos!$A:$A,Catálogo_Productos!$B:$D,"producto no encontrado")</f>
        <v>Silla Ergonómica</v>
      </c>
      <c r="I25" s="3" t="str">
        <v>Mobiliario</v>
      </c>
      <c r="J25" s="6">
        <v>280</v>
      </c>
      <c r="K25" s="6">
        <f t="shared" si="0"/>
        <v>1680</v>
      </c>
      <c r="L25" s="6">
        <f t="shared" si="1"/>
        <v>1428</v>
      </c>
      <c r="M25" s="19">
        <f t="shared" si="2"/>
        <v>252</v>
      </c>
    </row>
    <row r="26" spans="1:13" x14ac:dyDescent="0.25">
      <c r="A26" s="2" t="s">
        <v>77</v>
      </c>
      <c r="B26" s="2" t="s">
        <v>78</v>
      </c>
      <c r="C26" s="3" t="s">
        <v>14</v>
      </c>
      <c r="D26" s="3" t="s">
        <v>40</v>
      </c>
      <c r="E26" s="2" t="s">
        <v>28</v>
      </c>
      <c r="F26" s="4">
        <v>5</v>
      </c>
      <c r="G26" s="5">
        <v>0.05</v>
      </c>
      <c r="H26" s="3" t="str" cm="1">
        <f t="array" ref="H26:J26">_xlfn.XLOOKUP(E26,Catálogo_Productos!$A:$A,Catálogo_Productos!$B:$D,"producto no encontrado")</f>
        <v>Laptop Pro 15</v>
      </c>
      <c r="I26" s="3" t="str">
        <v>Tecnología</v>
      </c>
      <c r="J26" s="6">
        <v>1200</v>
      </c>
      <c r="K26" s="6">
        <f t="shared" si="0"/>
        <v>6000</v>
      </c>
      <c r="L26" s="6">
        <f t="shared" si="1"/>
        <v>5700</v>
      </c>
      <c r="M26" s="19">
        <f t="shared" si="2"/>
        <v>300</v>
      </c>
    </row>
    <row r="27" spans="1:13" x14ac:dyDescent="0.25">
      <c r="A27" s="2" t="s">
        <v>79</v>
      </c>
      <c r="B27" s="2" t="s">
        <v>80</v>
      </c>
      <c r="C27" s="3" t="s">
        <v>31</v>
      </c>
      <c r="D27" s="3" t="s">
        <v>40</v>
      </c>
      <c r="E27" s="2" t="s">
        <v>57</v>
      </c>
      <c r="F27" s="4">
        <v>4</v>
      </c>
      <c r="G27" s="5">
        <v>0.05</v>
      </c>
      <c r="H27" s="3" t="str" cm="1">
        <f t="array" ref="H27:J27">_xlfn.XLOOKUP(E27,Catálogo_Productos!$A:$A,Catálogo_Productos!$B:$D,"producto no encontrado")</f>
        <v>Escritorio Elevable</v>
      </c>
      <c r="I27" s="3" t="str">
        <v>Mobiliario</v>
      </c>
      <c r="J27" s="6">
        <v>420</v>
      </c>
      <c r="K27" s="6">
        <f t="shared" si="0"/>
        <v>1680</v>
      </c>
      <c r="L27" s="6">
        <f t="shared" si="1"/>
        <v>1596</v>
      </c>
      <c r="M27" s="19">
        <f t="shared" si="2"/>
        <v>84</v>
      </c>
    </row>
    <row r="28" spans="1:13" x14ac:dyDescent="0.25">
      <c r="A28" s="2" t="s">
        <v>81</v>
      </c>
      <c r="B28" s="2" t="s">
        <v>82</v>
      </c>
      <c r="C28" s="3" t="s">
        <v>23</v>
      </c>
      <c r="D28" s="3" t="s">
        <v>15</v>
      </c>
      <c r="E28" s="2" t="s">
        <v>24</v>
      </c>
      <c r="F28" s="4">
        <v>7</v>
      </c>
      <c r="G28" s="5">
        <v>0</v>
      </c>
      <c r="H28" s="3" t="str" cm="1">
        <f t="array" ref="H28:J28">_xlfn.XLOOKUP(E28,Catálogo_Productos!$A:$A,Catálogo_Productos!$B:$D,"producto no encontrado")</f>
        <v>Silla Ergonómica</v>
      </c>
      <c r="I28" s="3" t="str">
        <v>Mobiliario</v>
      </c>
      <c r="J28" s="6">
        <v>280</v>
      </c>
      <c r="K28" s="6">
        <f t="shared" si="0"/>
        <v>1960</v>
      </c>
      <c r="L28" s="6">
        <f t="shared" si="1"/>
        <v>1960</v>
      </c>
      <c r="M28" s="19">
        <f t="shared" si="2"/>
        <v>0</v>
      </c>
    </row>
    <row r="29" spans="1:13" x14ac:dyDescent="0.25">
      <c r="A29" s="2" t="s">
        <v>83</v>
      </c>
      <c r="B29" s="2" t="s">
        <v>84</v>
      </c>
      <c r="C29" s="3" t="s">
        <v>23</v>
      </c>
      <c r="D29" s="3" t="s">
        <v>20</v>
      </c>
      <c r="E29" s="2" t="s">
        <v>32</v>
      </c>
      <c r="F29" s="4">
        <v>2</v>
      </c>
      <c r="G29" s="5">
        <v>0.05</v>
      </c>
      <c r="H29" s="3" t="str" cm="1">
        <f t="array" ref="H29:J29">_xlfn.XLOOKUP(E29,Catálogo_Productos!$A:$A,Catálogo_Productos!$B:$D,"producto no encontrado")</f>
        <v>Mouse Inalámbrico Pro</v>
      </c>
      <c r="I29" s="3" t="str">
        <v>Accesorios</v>
      </c>
      <c r="J29" s="6">
        <v>45</v>
      </c>
      <c r="K29" s="6">
        <f t="shared" si="0"/>
        <v>90</v>
      </c>
      <c r="L29" s="6">
        <f t="shared" si="1"/>
        <v>85.5</v>
      </c>
      <c r="M29" s="19">
        <f t="shared" si="2"/>
        <v>4.5</v>
      </c>
    </row>
    <row r="30" spans="1:13" x14ac:dyDescent="0.25">
      <c r="A30" s="2" t="s">
        <v>85</v>
      </c>
      <c r="B30" s="2" t="s">
        <v>86</v>
      </c>
      <c r="C30" s="3" t="s">
        <v>23</v>
      </c>
      <c r="D30" s="3" t="s">
        <v>40</v>
      </c>
      <c r="E30" s="2" t="s">
        <v>60</v>
      </c>
      <c r="F30" s="4">
        <v>4</v>
      </c>
      <c r="G30" s="5">
        <v>0</v>
      </c>
      <c r="H30" s="3" t="str" cm="1">
        <f t="array" ref="H30:J30">_xlfn.XLOOKUP(E30,Catálogo_Productos!$A:$A,Catálogo_Productos!$B:$D,"producto no encontrado")</f>
        <v>Teclado Mecánico RGB</v>
      </c>
      <c r="I30" s="3" t="str">
        <v>Accesorios</v>
      </c>
      <c r="J30" s="6">
        <v>85</v>
      </c>
      <c r="K30" s="6">
        <f t="shared" si="0"/>
        <v>340</v>
      </c>
      <c r="L30" s="6">
        <f t="shared" si="1"/>
        <v>340</v>
      </c>
      <c r="M30" s="19">
        <f t="shared" si="2"/>
        <v>0</v>
      </c>
    </row>
    <row r="31" spans="1:13" x14ac:dyDescent="0.25">
      <c r="A31" s="2" t="s">
        <v>87</v>
      </c>
      <c r="B31" s="2" t="s">
        <v>45</v>
      </c>
      <c r="C31" s="3" t="s">
        <v>19</v>
      </c>
      <c r="D31" s="3" t="s">
        <v>15</v>
      </c>
      <c r="E31" s="2" t="s">
        <v>35</v>
      </c>
      <c r="F31" s="4">
        <v>5</v>
      </c>
      <c r="G31" s="5">
        <v>0.1</v>
      </c>
      <c r="H31" s="3" t="str" cm="1">
        <f t="array" ref="H31:J31">_xlfn.XLOOKUP(E31,Catálogo_Productos!$A:$A,Catálogo_Productos!$B:$D,"producto no encontrado")</f>
        <v>Audífonos Noise Cancelling</v>
      </c>
      <c r="I31" s="3" t="str">
        <v>Audio</v>
      </c>
      <c r="J31" s="6">
        <v>190</v>
      </c>
      <c r="K31" s="6">
        <f t="shared" si="0"/>
        <v>950</v>
      </c>
      <c r="L31" s="6">
        <f t="shared" si="1"/>
        <v>855</v>
      </c>
      <c r="M31" s="19">
        <f t="shared" si="2"/>
        <v>95</v>
      </c>
    </row>
    <row r="32" spans="1:13" x14ac:dyDescent="0.25">
      <c r="A32" s="2" t="s">
        <v>88</v>
      </c>
      <c r="B32" s="2" t="s">
        <v>89</v>
      </c>
      <c r="C32" s="3" t="s">
        <v>14</v>
      </c>
      <c r="D32" s="3" t="s">
        <v>52</v>
      </c>
      <c r="E32" s="2" t="s">
        <v>60</v>
      </c>
      <c r="F32" s="4">
        <v>4</v>
      </c>
      <c r="G32" s="5">
        <v>0.05</v>
      </c>
      <c r="H32" s="3" t="str" cm="1">
        <f t="array" ref="H32:J32">_xlfn.XLOOKUP(E32,Catálogo_Productos!$A:$A,Catálogo_Productos!$B:$D,"producto no encontrado")</f>
        <v>Teclado Mecánico RGB</v>
      </c>
      <c r="I32" s="3" t="str">
        <v>Accesorios</v>
      </c>
      <c r="J32" s="6">
        <v>85</v>
      </c>
      <c r="K32" s="6">
        <f t="shared" si="0"/>
        <v>340</v>
      </c>
      <c r="L32" s="6">
        <f t="shared" si="1"/>
        <v>323</v>
      </c>
      <c r="M32" s="19">
        <f t="shared" si="2"/>
        <v>17</v>
      </c>
    </row>
    <row r="33" spans="1:13" x14ac:dyDescent="0.25">
      <c r="A33" s="2" t="s">
        <v>90</v>
      </c>
      <c r="B33" s="2" t="s">
        <v>86</v>
      </c>
      <c r="C33" s="3" t="s">
        <v>31</v>
      </c>
      <c r="D33" s="3" t="s">
        <v>20</v>
      </c>
      <c r="E33" s="2" t="s">
        <v>24</v>
      </c>
      <c r="F33" s="4">
        <v>3</v>
      </c>
      <c r="G33" s="5">
        <v>0</v>
      </c>
      <c r="H33" s="3" t="str" cm="1">
        <f t="array" ref="H33:J33">_xlfn.XLOOKUP(E33,Catálogo_Productos!$A:$A,Catálogo_Productos!$B:$D,"producto no encontrado")</f>
        <v>Silla Ergonómica</v>
      </c>
      <c r="I33" s="3" t="str">
        <v>Mobiliario</v>
      </c>
      <c r="J33" s="6">
        <v>280</v>
      </c>
      <c r="K33" s="6">
        <f t="shared" si="0"/>
        <v>840</v>
      </c>
      <c r="L33" s="6">
        <f t="shared" si="1"/>
        <v>840</v>
      </c>
      <c r="M33" s="19">
        <f t="shared" si="2"/>
        <v>0</v>
      </c>
    </row>
    <row r="34" spans="1:13" x14ac:dyDescent="0.25">
      <c r="A34" s="2" t="s">
        <v>91</v>
      </c>
      <c r="B34" s="2" t="s">
        <v>92</v>
      </c>
      <c r="C34" s="3" t="s">
        <v>19</v>
      </c>
      <c r="D34" s="3" t="s">
        <v>15</v>
      </c>
      <c r="E34" s="2" t="s">
        <v>93</v>
      </c>
      <c r="F34" s="4">
        <v>3</v>
      </c>
      <c r="G34" s="5">
        <v>0</v>
      </c>
      <c r="H34" s="3" t="str" cm="1">
        <f t="array" ref="H34:J34">_xlfn.XLOOKUP(E34,Catálogo_Productos!$A:$A,Catálogo_Productos!$B:$D,"producto no encontrado")</f>
        <v>Monitor 4K 27"</v>
      </c>
      <c r="I34" s="3" t="str">
        <v>Tecnología</v>
      </c>
      <c r="J34" s="6">
        <v>350</v>
      </c>
      <c r="K34" s="6">
        <f t="shared" si="0"/>
        <v>1050</v>
      </c>
      <c r="L34" s="6">
        <f t="shared" si="1"/>
        <v>1050</v>
      </c>
      <c r="M34" s="19">
        <f t="shared" si="2"/>
        <v>0</v>
      </c>
    </row>
    <row r="35" spans="1:13" x14ac:dyDescent="0.25">
      <c r="A35" s="2" t="s">
        <v>94</v>
      </c>
      <c r="B35" s="2" t="s">
        <v>95</v>
      </c>
      <c r="C35" s="3" t="s">
        <v>31</v>
      </c>
      <c r="D35" s="3" t="s">
        <v>40</v>
      </c>
      <c r="E35" s="2" t="s">
        <v>93</v>
      </c>
      <c r="F35" s="4">
        <v>6</v>
      </c>
      <c r="G35" s="5">
        <v>0</v>
      </c>
      <c r="H35" s="3" t="str" cm="1">
        <f t="array" ref="H35:J35">_xlfn.XLOOKUP(E35,Catálogo_Productos!$A:$A,Catálogo_Productos!$B:$D,"producto no encontrado")</f>
        <v>Monitor 4K 27"</v>
      </c>
      <c r="I35" s="3" t="str">
        <v>Tecnología</v>
      </c>
      <c r="J35" s="6">
        <v>350</v>
      </c>
      <c r="K35" s="6">
        <f t="shared" si="0"/>
        <v>2100</v>
      </c>
      <c r="L35" s="6">
        <f t="shared" si="1"/>
        <v>2100</v>
      </c>
      <c r="M35" s="19">
        <f t="shared" si="2"/>
        <v>0</v>
      </c>
    </row>
    <row r="36" spans="1:13" x14ac:dyDescent="0.25">
      <c r="A36" s="2" t="s">
        <v>96</v>
      </c>
      <c r="B36" s="2" t="s">
        <v>47</v>
      </c>
      <c r="C36" s="3" t="s">
        <v>27</v>
      </c>
      <c r="D36" s="3" t="s">
        <v>40</v>
      </c>
      <c r="E36" s="2" t="s">
        <v>28</v>
      </c>
      <c r="F36" s="4">
        <v>5</v>
      </c>
      <c r="G36" s="5">
        <v>0</v>
      </c>
      <c r="H36" s="3" t="str" cm="1">
        <f t="array" ref="H36:J36">_xlfn.XLOOKUP(E36,Catálogo_Productos!$A:$A,Catálogo_Productos!$B:$D,"producto no encontrado")</f>
        <v>Laptop Pro 15</v>
      </c>
      <c r="I36" s="3" t="str">
        <v>Tecnología</v>
      </c>
      <c r="J36" s="6">
        <v>1200</v>
      </c>
      <c r="K36" s="6">
        <f t="shared" si="0"/>
        <v>6000</v>
      </c>
      <c r="L36" s="6">
        <f t="shared" si="1"/>
        <v>6000</v>
      </c>
      <c r="M36" s="19">
        <f t="shared" si="2"/>
        <v>0</v>
      </c>
    </row>
    <row r="37" spans="1:13" x14ac:dyDescent="0.25">
      <c r="A37" s="2" t="s">
        <v>97</v>
      </c>
      <c r="B37" s="2" t="s">
        <v>13</v>
      </c>
      <c r="C37" s="3" t="s">
        <v>19</v>
      </c>
      <c r="D37" s="3" t="s">
        <v>15</v>
      </c>
      <c r="E37" s="2" t="s">
        <v>28</v>
      </c>
      <c r="F37" s="4">
        <v>6</v>
      </c>
      <c r="G37" s="5">
        <v>0</v>
      </c>
      <c r="H37" s="3" t="str" cm="1">
        <f t="array" ref="H37:J37">_xlfn.XLOOKUP(E37,Catálogo_Productos!$A:$A,Catálogo_Productos!$B:$D,"producto no encontrado")</f>
        <v>Laptop Pro 15</v>
      </c>
      <c r="I37" s="3" t="str">
        <v>Tecnología</v>
      </c>
      <c r="J37" s="6">
        <v>1200</v>
      </c>
      <c r="K37" s="6">
        <f t="shared" si="0"/>
        <v>7200</v>
      </c>
      <c r="L37" s="6">
        <f t="shared" si="1"/>
        <v>7200</v>
      </c>
      <c r="M37" s="19">
        <f t="shared" si="2"/>
        <v>0</v>
      </c>
    </row>
    <row r="38" spans="1:13" x14ac:dyDescent="0.25">
      <c r="A38" s="2" t="s">
        <v>98</v>
      </c>
      <c r="B38" s="2" t="s">
        <v>99</v>
      </c>
      <c r="C38" s="3" t="s">
        <v>23</v>
      </c>
      <c r="D38" s="3" t="s">
        <v>15</v>
      </c>
      <c r="E38" s="2" t="s">
        <v>28</v>
      </c>
      <c r="F38" s="4">
        <v>7</v>
      </c>
      <c r="G38" s="5">
        <v>0.15</v>
      </c>
      <c r="H38" s="3" t="str" cm="1">
        <f t="array" ref="H38:J38">_xlfn.XLOOKUP(E38,Catálogo_Productos!$A:$A,Catálogo_Productos!$B:$D,"producto no encontrado")</f>
        <v>Laptop Pro 15</v>
      </c>
      <c r="I38" s="3" t="str">
        <v>Tecnología</v>
      </c>
      <c r="J38" s="6">
        <v>1200</v>
      </c>
      <c r="K38" s="6">
        <f t="shared" si="0"/>
        <v>8400</v>
      </c>
      <c r="L38" s="6">
        <f t="shared" si="1"/>
        <v>7140</v>
      </c>
      <c r="M38" s="19">
        <f t="shared" si="2"/>
        <v>1260</v>
      </c>
    </row>
    <row r="39" spans="1:13" x14ac:dyDescent="0.25">
      <c r="A39" s="2" t="s">
        <v>100</v>
      </c>
      <c r="B39" s="2" t="s">
        <v>101</v>
      </c>
      <c r="C39" s="3" t="s">
        <v>31</v>
      </c>
      <c r="D39" s="3" t="s">
        <v>15</v>
      </c>
      <c r="E39" s="2" t="s">
        <v>93</v>
      </c>
      <c r="F39" s="4">
        <v>4</v>
      </c>
      <c r="G39" s="5">
        <v>0</v>
      </c>
      <c r="H39" s="3" t="str" cm="1">
        <f t="array" ref="H39:J39">_xlfn.XLOOKUP(E39,Catálogo_Productos!$A:$A,Catálogo_Productos!$B:$D,"producto no encontrado")</f>
        <v>Monitor 4K 27"</v>
      </c>
      <c r="I39" s="3" t="str">
        <v>Tecnología</v>
      </c>
      <c r="J39" s="6">
        <v>350</v>
      </c>
      <c r="K39" s="6">
        <f t="shared" si="0"/>
        <v>1400</v>
      </c>
      <c r="L39" s="6">
        <f t="shared" si="1"/>
        <v>1400</v>
      </c>
      <c r="M39" s="19">
        <f t="shared" si="2"/>
        <v>0</v>
      </c>
    </row>
    <row r="40" spans="1:13" x14ac:dyDescent="0.25">
      <c r="A40" s="2" t="s">
        <v>102</v>
      </c>
      <c r="B40" s="2" t="s">
        <v>92</v>
      </c>
      <c r="C40" s="3" t="s">
        <v>43</v>
      </c>
      <c r="D40" s="3" t="s">
        <v>52</v>
      </c>
      <c r="E40" s="2" t="s">
        <v>60</v>
      </c>
      <c r="F40" s="4">
        <v>7</v>
      </c>
      <c r="G40" s="5">
        <v>0</v>
      </c>
      <c r="H40" s="3" t="str" cm="1">
        <f t="array" ref="H40:J40">_xlfn.XLOOKUP(E40,Catálogo_Productos!$A:$A,Catálogo_Productos!$B:$D,"producto no encontrado")</f>
        <v>Teclado Mecánico RGB</v>
      </c>
      <c r="I40" s="3" t="str">
        <v>Accesorios</v>
      </c>
      <c r="J40" s="6">
        <v>85</v>
      </c>
      <c r="K40" s="6">
        <f t="shared" si="0"/>
        <v>595</v>
      </c>
      <c r="L40" s="6">
        <f t="shared" si="1"/>
        <v>595</v>
      </c>
      <c r="M40" s="19">
        <f t="shared" si="2"/>
        <v>0</v>
      </c>
    </row>
    <row r="41" spans="1:13" x14ac:dyDescent="0.25">
      <c r="A41" s="2" t="s">
        <v>103</v>
      </c>
      <c r="B41" s="2" t="s">
        <v>104</v>
      </c>
      <c r="C41" s="3" t="s">
        <v>43</v>
      </c>
      <c r="D41" s="3" t="s">
        <v>15</v>
      </c>
      <c r="E41" s="2" t="s">
        <v>93</v>
      </c>
      <c r="F41" s="4">
        <v>3</v>
      </c>
      <c r="G41" s="5">
        <v>0</v>
      </c>
      <c r="H41" s="3" t="str" cm="1">
        <f t="array" ref="H41:J41">_xlfn.XLOOKUP(E41,Catálogo_Productos!$A:$A,Catálogo_Productos!$B:$D,"producto no encontrado")</f>
        <v>Monitor 4K 27"</v>
      </c>
      <c r="I41" s="3" t="str">
        <v>Tecnología</v>
      </c>
      <c r="J41" s="6">
        <v>350</v>
      </c>
      <c r="K41" s="6">
        <f t="shared" si="0"/>
        <v>1050</v>
      </c>
      <c r="L41" s="6">
        <f t="shared" si="1"/>
        <v>1050</v>
      </c>
      <c r="M41" s="19">
        <f t="shared" si="2"/>
        <v>0</v>
      </c>
    </row>
    <row r="42" spans="1:13" x14ac:dyDescent="0.25">
      <c r="A42" s="2" t="s">
        <v>105</v>
      </c>
      <c r="B42" s="2" t="s">
        <v>76</v>
      </c>
      <c r="C42" s="3" t="s">
        <v>14</v>
      </c>
      <c r="D42" s="3" t="s">
        <v>15</v>
      </c>
      <c r="E42" s="2" t="s">
        <v>57</v>
      </c>
      <c r="F42" s="4">
        <v>5</v>
      </c>
      <c r="G42" s="5">
        <v>0.05</v>
      </c>
      <c r="H42" s="3" t="str" cm="1">
        <f t="array" ref="H42:J42">_xlfn.XLOOKUP(E42,Catálogo_Productos!$A:$A,Catálogo_Productos!$B:$D,"producto no encontrado")</f>
        <v>Escritorio Elevable</v>
      </c>
      <c r="I42" s="3" t="str">
        <v>Mobiliario</v>
      </c>
      <c r="J42" s="6">
        <v>420</v>
      </c>
      <c r="K42" s="6">
        <f t="shared" si="0"/>
        <v>2100</v>
      </c>
      <c r="L42" s="6">
        <f t="shared" si="1"/>
        <v>1995</v>
      </c>
      <c r="M42" s="19">
        <f t="shared" si="2"/>
        <v>105</v>
      </c>
    </row>
    <row r="43" spans="1:13" x14ac:dyDescent="0.25">
      <c r="A43" s="2" t="s">
        <v>106</v>
      </c>
      <c r="B43" s="2" t="s">
        <v>107</v>
      </c>
      <c r="C43" s="3" t="s">
        <v>19</v>
      </c>
      <c r="D43" s="3" t="s">
        <v>52</v>
      </c>
      <c r="E43" s="2" t="s">
        <v>16</v>
      </c>
      <c r="F43" s="4">
        <v>2</v>
      </c>
      <c r="G43" s="5">
        <v>0</v>
      </c>
      <c r="H43" s="3" t="str" cm="1">
        <f t="array" ref="H43:J43">_xlfn.XLOOKUP(E43,Catálogo_Productos!$A:$A,Catálogo_Productos!$B:$D,"producto no encontrado")</f>
        <v>Micrófono USB Studio</v>
      </c>
      <c r="I43" s="3" t="str">
        <v>Audio</v>
      </c>
      <c r="J43" s="6">
        <v>130</v>
      </c>
      <c r="K43" s="6">
        <f t="shared" si="0"/>
        <v>260</v>
      </c>
      <c r="L43" s="6">
        <f t="shared" si="1"/>
        <v>260</v>
      </c>
      <c r="M43" s="19">
        <f t="shared" si="2"/>
        <v>0</v>
      </c>
    </row>
    <row r="44" spans="1:13" x14ac:dyDescent="0.25">
      <c r="A44" s="2" t="s">
        <v>108</v>
      </c>
      <c r="B44" s="2" t="s">
        <v>86</v>
      </c>
      <c r="C44" s="3" t="s">
        <v>14</v>
      </c>
      <c r="D44" s="3" t="s">
        <v>15</v>
      </c>
      <c r="E44" s="2" t="s">
        <v>28</v>
      </c>
      <c r="F44" s="4">
        <v>7</v>
      </c>
      <c r="G44" s="5">
        <v>0.1</v>
      </c>
      <c r="H44" s="3" t="str" cm="1">
        <f t="array" ref="H44:J44">_xlfn.XLOOKUP(E44,Catálogo_Productos!$A:$A,Catálogo_Productos!$B:$D,"producto no encontrado")</f>
        <v>Laptop Pro 15</v>
      </c>
      <c r="I44" s="3" t="str">
        <v>Tecnología</v>
      </c>
      <c r="J44" s="6">
        <v>1200</v>
      </c>
      <c r="K44" s="6">
        <f t="shared" si="0"/>
        <v>8400</v>
      </c>
      <c r="L44" s="6">
        <f t="shared" si="1"/>
        <v>7560</v>
      </c>
      <c r="M44" s="19">
        <f t="shared" si="2"/>
        <v>840</v>
      </c>
    </row>
    <row r="45" spans="1:13" x14ac:dyDescent="0.25">
      <c r="A45" s="2" t="s">
        <v>109</v>
      </c>
      <c r="B45" s="2" t="s">
        <v>110</v>
      </c>
      <c r="C45" s="3" t="s">
        <v>43</v>
      </c>
      <c r="D45" s="3" t="s">
        <v>15</v>
      </c>
      <c r="E45" s="2" t="s">
        <v>24</v>
      </c>
      <c r="F45" s="4">
        <v>2</v>
      </c>
      <c r="G45" s="5">
        <v>0</v>
      </c>
      <c r="H45" s="3" t="str" cm="1">
        <f t="array" ref="H45:J45">_xlfn.XLOOKUP(E45,Catálogo_Productos!$A:$A,Catálogo_Productos!$B:$D,"producto no encontrado")</f>
        <v>Silla Ergonómica</v>
      </c>
      <c r="I45" s="3" t="str">
        <v>Mobiliario</v>
      </c>
      <c r="J45" s="6">
        <v>280</v>
      </c>
      <c r="K45" s="6">
        <f t="shared" si="0"/>
        <v>560</v>
      </c>
      <c r="L45" s="6">
        <f t="shared" si="1"/>
        <v>560</v>
      </c>
      <c r="M45" s="19">
        <f t="shared" si="2"/>
        <v>0</v>
      </c>
    </row>
    <row r="46" spans="1:13" x14ac:dyDescent="0.25">
      <c r="A46" s="2" t="s">
        <v>111</v>
      </c>
      <c r="B46" s="2" t="s">
        <v>101</v>
      </c>
      <c r="C46" s="3" t="s">
        <v>31</v>
      </c>
      <c r="D46" s="3" t="s">
        <v>15</v>
      </c>
      <c r="E46" s="2" t="s">
        <v>32</v>
      </c>
      <c r="F46" s="4">
        <v>5</v>
      </c>
      <c r="G46" s="5">
        <v>0.05</v>
      </c>
      <c r="H46" s="3" t="str" cm="1">
        <f t="array" ref="H46:J46">_xlfn.XLOOKUP(E46,Catálogo_Productos!$A:$A,Catálogo_Productos!$B:$D,"producto no encontrado")</f>
        <v>Mouse Inalámbrico Pro</v>
      </c>
      <c r="I46" s="3" t="str">
        <v>Accesorios</v>
      </c>
      <c r="J46" s="6">
        <v>45</v>
      </c>
      <c r="K46" s="6">
        <f t="shared" si="0"/>
        <v>225</v>
      </c>
      <c r="L46" s="6">
        <f t="shared" si="1"/>
        <v>213.75</v>
      </c>
      <c r="M46" s="19">
        <f t="shared" si="2"/>
        <v>11.25</v>
      </c>
    </row>
    <row r="47" spans="1:13" x14ac:dyDescent="0.25">
      <c r="A47" s="2" t="s">
        <v>112</v>
      </c>
      <c r="B47" s="2" t="s">
        <v>113</v>
      </c>
      <c r="C47" s="3" t="s">
        <v>43</v>
      </c>
      <c r="D47" s="3" t="s">
        <v>52</v>
      </c>
      <c r="E47" s="2" t="s">
        <v>24</v>
      </c>
      <c r="F47" s="4">
        <v>6</v>
      </c>
      <c r="G47" s="5">
        <v>0</v>
      </c>
      <c r="H47" s="3" t="str" cm="1">
        <f t="array" ref="H47:J47">_xlfn.XLOOKUP(E47,Catálogo_Productos!$A:$A,Catálogo_Productos!$B:$D,"producto no encontrado")</f>
        <v>Silla Ergonómica</v>
      </c>
      <c r="I47" s="3" t="str">
        <v>Mobiliario</v>
      </c>
      <c r="J47" s="6">
        <v>280</v>
      </c>
      <c r="K47" s="6">
        <f t="shared" si="0"/>
        <v>1680</v>
      </c>
      <c r="L47" s="6">
        <f t="shared" si="1"/>
        <v>1680</v>
      </c>
      <c r="M47" s="19">
        <f t="shared" si="2"/>
        <v>0</v>
      </c>
    </row>
    <row r="48" spans="1:13" x14ac:dyDescent="0.25">
      <c r="A48" s="2" t="s">
        <v>114</v>
      </c>
      <c r="B48" s="2" t="s">
        <v>115</v>
      </c>
      <c r="C48" s="3" t="s">
        <v>23</v>
      </c>
      <c r="D48" s="3" t="s">
        <v>52</v>
      </c>
      <c r="E48" s="2" t="s">
        <v>57</v>
      </c>
      <c r="F48" s="4">
        <v>4</v>
      </c>
      <c r="G48" s="5">
        <v>0</v>
      </c>
      <c r="H48" s="3" t="str" cm="1">
        <f t="array" ref="H48:J48">_xlfn.XLOOKUP(E48,Catálogo_Productos!$A:$A,Catálogo_Productos!$B:$D,"producto no encontrado")</f>
        <v>Escritorio Elevable</v>
      </c>
      <c r="I48" s="3" t="str">
        <v>Mobiliario</v>
      </c>
      <c r="J48" s="6">
        <v>420</v>
      </c>
      <c r="K48" s="6">
        <f t="shared" si="0"/>
        <v>1680</v>
      </c>
      <c r="L48" s="6">
        <f t="shared" si="1"/>
        <v>1680</v>
      </c>
      <c r="M48" s="19">
        <f t="shared" si="2"/>
        <v>0</v>
      </c>
    </row>
    <row r="49" spans="1:13" x14ac:dyDescent="0.25">
      <c r="A49" s="2" t="s">
        <v>116</v>
      </c>
      <c r="B49" s="2" t="s">
        <v>117</v>
      </c>
      <c r="C49" s="3" t="s">
        <v>43</v>
      </c>
      <c r="D49" s="3" t="s">
        <v>52</v>
      </c>
      <c r="E49" s="2" t="s">
        <v>32</v>
      </c>
      <c r="F49" s="4">
        <v>2</v>
      </c>
      <c r="G49" s="5">
        <v>0</v>
      </c>
      <c r="H49" s="3" t="str" cm="1">
        <f t="array" ref="H49:J49">_xlfn.XLOOKUP(E49,Catálogo_Productos!$A:$A,Catálogo_Productos!$B:$D,"producto no encontrado")</f>
        <v>Mouse Inalámbrico Pro</v>
      </c>
      <c r="I49" s="3" t="str">
        <v>Accesorios</v>
      </c>
      <c r="J49" s="6">
        <v>45</v>
      </c>
      <c r="K49" s="6">
        <f t="shared" si="0"/>
        <v>90</v>
      </c>
      <c r="L49" s="6">
        <f t="shared" si="1"/>
        <v>90</v>
      </c>
      <c r="M49" s="19">
        <f t="shared" si="2"/>
        <v>0</v>
      </c>
    </row>
    <row r="50" spans="1:13" x14ac:dyDescent="0.25">
      <c r="A50" s="2" t="s">
        <v>118</v>
      </c>
      <c r="B50" s="2" t="s">
        <v>119</v>
      </c>
      <c r="C50" s="3" t="s">
        <v>31</v>
      </c>
      <c r="D50" s="3" t="s">
        <v>15</v>
      </c>
      <c r="E50" s="2" t="s">
        <v>32</v>
      </c>
      <c r="F50" s="4">
        <v>7</v>
      </c>
      <c r="G50" s="5">
        <v>0</v>
      </c>
      <c r="H50" s="3" t="str" cm="1">
        <f t="array" ref="H50:J50">_xlfn.XLOOKUP(E50,Catálogo_Productos!$A:$A,Catálogo_Productos!$B:$D,"producto no encontrado")</f>
        <v>Mouse Inalámbrico Pro</v>
      </c>
      <c r="I50" s="3" t="str">
        <v>Accesorios</v>
      </c>
      <c r="J50" s="6">
        <v>45</v>
      </c>
      <c r="K50" s="6">
        <f t="shared" si="0"/>
        <v>315</v>
      </c>
      <c r="L50" s="6">
        <f t="shared" si="1"/>
        <v>315</v>
      </c>
      <c r="M50" s="19">
        <f t="shared" si="2"/>
        <v>0</v>
      </c>
    </row>
    <row r="51" spans="1:13" x14ac:dyDescent="0.25">
      <c r="A51" s="2" t="s">
        <v>120</v>
      </c>
      <c r="B51" s="2" t="s">
        <v>89</v>
      </c>
      <c r="C51" s="3" t="s">
        <v>14</v>
      </c>
      <c r="D51" s="3" t="s">
        <v>20</v>
      </c>
      <c r="E51" s="2" t="s">
        <v>93</v>
      </c>
      <c r="F51" s="4">
        <v>7</v>
      </c>
      <c r="G51" s="5">
        <v>0</v>
      </c>
      <c r="H51" s="3" t="str" cm="1">
        <f t="array" ref="H51:J51">_xlfn.XLOOKUP(E51,Catálogo_Productos!$A:$A,Catálogo_Productos!$B:$D,"producto no encontrado")</f>
        <v>Monitor 4K 27"</v>
      </c>
      <c r="I51" s="3" t="str">
        <v>Tecnología</v>
      </c>
      <c r="J51" s="6">
        <v>350</v>
      </c>
      <c r="K51" s="6">
        <f t="shared" si="0"/>
        <v>2450</v>
      </c>
      <c r="L51" s="6">
        <f t="shared" si="1"/>
        <v>2450</v>
      </c>
      <c r="M51" s="19">
        <f t="shared" si="2"/>
        <v>0</v>
      </c>
    </row>
    <row r="52" spans="1:13" x14ac:dyDescent="0.25">
      <c r="A52" s="2" t="s">
        <v>121</v>
      </c>
      <c r="B52" s="2" t="s">
        <v>122</v>
      </c>
      <c r="C52" s="3" t="s">
        <v>27</v>
      </c>
      <c r="D52" s="3" t="s">
        <v>20</v>
      </c>
      <c r="E52" s="2" t="s">
        <v>35</v>
      </c>
      <c r="F52" s="4">
        <v>7</v>
      </c>
      <c r="G52" s="5">
        <v>0</v>
      </c>
      <c r="H52" s="3" t="str" cm="1">
        <f t="array" ref="H52:J52">_xlfn.XLOOKUP(E52,Catálogo_Productos!$A:$A,Catálogo_Productos!$B:$D,"producto no encontrado")</f>
        <v>Audífonos Noise Cancelling</v>
      </c>
      <c r="I52" s="3" t="str">
        <v>Audio</v>
      </c>
      <c r="J52" s="6">
        <v>190</v>
      </c>
      <c r="K52" s="6">
        <f t="shared" si="0"/>
        <v>1330</v>
      </c>
      <c r="L52" s="6">
        <f t="shared" si="1"/>
        <v>1330</v>
      </c>
      <c r="M52" s="19">
        <f t="shared" si="2"/>
        <v>0</v>
      </c>
    </row>
    <row r="53" spans="1:13" x14ac:dyDescent="0.25">
      <c r="A53" s="2" t="s">
        <v>123</v>
      </c>
      <c r="B53" s="2" t="s">
        <v>124</v>
      </c>
      <c r="C53" s="3" t="s">
        <v>19</v>
      </c>
      <c r="D53" s="3" t="s">
        <v>15</v>
      </c>
      <c r="E53" s="2" t="s">
        <v>57</v>
      </c>
      <c r="F53" s="4">
        <v>5</v>
      </c>
      <c r="G53" s="5">
        <v>0.05</v>
      </c>
      <c r="H53" s="3" t="str" cm="1">
        <f t="array" ref="H53:J53">_xlfn.XLOOKUP(E53,Catálogo_Productos!$A:$A,Catálogo_Productos!$B:$D,"producto no encontrado")</f>
        <v>Escritorio Elevable</v>
      </c>
      <c r="I53" s="3" t="str">
        <v>Mobiliario</v>
      </c>
      <c r="J53" s="6">
        <v>420</v>
      </c>
      <c r="K53" s="6">
        <f t="shared" si="0"/>
        <v>2100</v>
      </c>
      <c r="L53" s="6">
        <f t="shared" si="1"/>
        <v>1995</v>
      </c>
      <c r="M53" s="19">
        <f t="shared" si="2"/>
        <v>105</v>
      </c>
    </row>
    <row r="54" spans="1:13" x14ac:dyDescent="0.25">
      <c r="A54" s="2" t="s">
        <v>125</v>
      </c>
      <c r="B54" s="2" t="s">
        <v>126</v>
      </c>
      <c r="C54" s="3" t="s">
        <v>19</v>
      </c>
      <c r="D54" s="3" t="s">
        <v>40</v>
      </c>
      <c r="E54" s="2" t="s">
        <v>35</v>
      </c>
      <c r="F54" s="4">
        <v>1</v>
      </c>
      <c r="G54" s="5">
        <v>0</v>
      </c>
      <c r="H54" s="3" t="str" cm="1">
        <f t="array" ref="H54:J54">_xlfn.XLOOKUP(E54,Catálogo_Productos!$A:$A,Catálogo_Productos!$B:$D,"producto no encontrado")</f>
        <v>Audífonos Noise Cancelling</v>
      </c>
      <c r="I54" s="3" t="str">
        <v>Audio</v>
      </c>
      <c r="J54" s="6">
        <v>190</v>
      </c>
      <c r="K54" s="6">
        <f t="shared" si="0"/>
        <v>190</v>
      </c>
      <c r="L54" s="6">
        <f t="shared" si="1"/>
        <v>190</v>
      </c>
      <c r="M54" s="19">
        <f t="shared" si="2"/>
        <v>0</v>
      </c>
    </row>
    <row r="55" spans="1:13" x14ac:dyDescent="0.25">
      <c r="A55" s="2" t="s">
        <v>127</v>
      </c>
      <c r="B55" s="2" t="s">
        <v>128</v>
      </c>
      <c r="C55" s="3" t="s">
        <v>19</v>
      </c>
      <c r="D55" s="3" t="s">
        <v>52</v>
      </c>
      <c r="E55" s="2" t="s">
        <v>93</v>
      </c>
      <c r="F55" s="4">
        <v>7</v>
      </c>
      <c r="G55" s="5">
        <v>0</v>
      </c>
      <c r="H55" s="3" t="str" cm="1">
        <f t="array" ref="H55:J55">_xlfn.XLOOKUP(E55,Catálogo_Productos!$A:$A,Catálogo_Productos!$B:$D,"producto no encontrado")</f>
        <v>Monitor 4K 27"</v>
      </c>
      <c r="I55" s="3" t="str">
        <v>Tecnología</v>
      </c>
      <c r="J55" s="6">
        <v>350</v>
      </c>
      <c r="K55" s="6">
        <f t="shared" si="0"/>
        <v>2450</v>
      </c>
      <c r="L55" s="6">
        <f t="shared" si="1"/>
        <v>2450</v>
      </c>
      <c r="M55" s="19">
        <f t="shared" si="2"/>
        <v>0</v>
      </c>
    </row>
    <row r="56" spans="1:13" x14ac:dyDescent="0.25">
      <c r="A56" s="2" t="s">
        <v>129</v>
      </c>
      <c r="B56" s="2" t="s">
        <v>130</v>
      </c>
      <c r="C56" s="3" t="s">
        <v>19</v>
      </c>
      <c r="D56" s="3" t="s">
        <v>20</v>
      </c>
      <c r="E56" s="2" t="s">
        <v>16</v>
      </c>
      <c r="F56" s="4">
        <v>2</v>
      </c>
      <c r="G56" s="5">
        <v>0.05</v>
      </c>
      <c r="H56" s="3" t="str" cm="1">
        <f t="array" ref="H56:J56">_xlfn.XLOOKUP(E56,Catálogo_Productos!$A:$A,Catálogo_Productos!$B:$D,"producto no encontrado")</f>
        <v>Micrófono USB Studio</v>
      </c>
      <c r="I56" s="3" t="str">
        <v>Audio</v>
      </c>
      <c r="J56" s="6">
        <v>130</v>
      </c>
      <c r="K56" s="6">
        <f t="shared" si="0"/>
        <v>260</v>
      </c>
      <c r="L56" s="6">
        <f t="shared" si="1"/>
        <v>247</v>
      </c>
      <c r="M56" s="19">
        <f t="shared" si="2"/>
        <v>13</v>
      </c>
    </row>
    <row r="57" spans="1:13" x14ac:dyDescent="0.25">
      <c r="A57" s="2" t="s">
        <v>131</v>
      </c>
      <c r="B57" s="2" t="s">
        <v>132</v>
      </c>
      <c r="C57" s="3" t="s">
        <v>19</v>
      </c>
      <c r="D57" s="3" t="s">
        <v>15</v>
      </c>
      <c r="E57" s="2" t="s">
        <v>24</v>
      </c>
      <c r="F57" s="4">
        <v>1</v>
      </c>
      <c r="G57" s="5">
        <v>0</v>
      </c>
      <c r="H57" s="3" t="str" cm="1">
        <f t="array" ref="H57:J57">_xlfn.XLOOKUP(E57,Catálogo_Productos!$A:$A,Catálogo_Productos!$B:$D,"producto no encontrado")</f>
        <v>Silla Ergonómica</v>
      </c>
      <c r="I57" s="3" t="str">
        <v>Mobiliario</v>
      </c>
      <c r="J57" s="6">
        <v>280</v>
      </c>
      <c r="K57" s="6">
        <f t="shared" si="0"/>
        <v>280</v>
      </c>
      <c r="L57" s="6">
        <f t="shared" si="1"/>
        <v>280</v>
      </c>
      <c r="M57" s="19">
        <f t="shared" si="2"/>
        <v>0</v>
      </c>
    </row>
    <row r="58" spans="1:13" x14ac:dyDescent="0.25">
      <c r="A58" s="2" t="s">
        <v>133</v>
      </c>
      <c r="B58" s="2" t="s">
        <v>134</v>
      </c>
      <c r="C58" s="3" t="s">
        <v>43</v>
      </c>
      <c r="D58" s="3" t="s">
        <v>15</v>
      </c>
      <c r="E58" s="2" t="s">
        <v>24</v>
      </c>
      <c r="F58" s="4">
        <v>7</v>
      </c>
      <c r="G58" s="5">
        <v>0.1</v>
      </c>
      <c r="H58" s="3" t="str" cm="1">
        <f t="array" ref="H58:J58">_xlfn.XLOOKUP(E58,Catálogo_Productos!$A:$A,Catálogo_Productos!$B:$D,"producto no encontrado")</f>
        <v>Silla Ergonómica</v>
      </c>
      <c r="I58" s="3" t="str">
        <v>Mobiliario</v>
      </c>
      <c r="J58" s="6">
        <v>280</v>
      </c>
      <c r="K58" s="6">
        <f t="shared" si="0"/>
        <v>1960</v>
      </c>
      <c r="L58" s="6">
        <f t="shared" si="1"/>
        <v>1764</v>
      </c>
      <c r="M58" s="19">
        <f t="shared" si="2"/>
        <v>196</v>
      </c>
    </row>
    <row r="59" spans="1:13" x14ac:dyDescent="0.25">
      <c r="A59" s="2" t="s">
        <v>135</v>
      </c>
      <c r="B59" s="2" t="s">
        <v>136</v>
      </c>
      <c r="C59" s="3" t="s">
        <v>19</v>
      </c>
      <c r="D59" s="3" t="s">
        <v>40</v>
      </c>
      <c r="E59" s="2" t="s">
        <v>16</v>
      </c>
      <c r="F59" s="4">
        <v>2</v>
      </c>
      <c r="G59" s="5">
        <v>0</v>
      </c>
      <c r="H59" s="3" t="str" cm="1">
        <f t="array" ref="H59:J59">_xlfn.XLOOKUP(E59,Catálogo_Productos!$A:$A,Catálogo_Productos!$B:$D,"producto no encontrado")</f>
        <v>Micrófono USB Studio</v>
      </c>
      <c r="I59" s="3" t="str">
        <v>Audio</v>
      </c>
      <c r="J59" s="6">
        <v>130</v>
      </c>
      <c r="K59" s="6">
        <f t="shared" si="0"/>
        <v>260</v>
      </c>
      <c r="L59" s="6">
        <f t="shared" si="1"/>
        <v>260</v>
      </c>
      <c r="M59" s="19">
        <f t="shared" si="2"/>
        <v>0</v>
      </c>
    </row>
    <row r="60" spans="1:13" x14ac:dyDescent="0.25">
      <c r="A60" s="2" t="s">
        <v>137</v>
      </c>
      <c r="B60" s="2" t="s">
        <v>84</v>
      </c>
      <c r="C60" s="3" t="s">
        <v>14</v>
      </c>
      <c r="D60" s="3" t="s">
        <v>20</v>
      </c>
      <c r="E60" s="2" t="s">
        <v>57</v>
      </c>
      <c r="F60" s="4">
        <v>4</v>
      </c>
      <c r="G60" s="5">
        <v>0</v>
      </c>
      <c r="H60" s="3" t="str" cm="1">
        <f t="array" ref="H60:J60">_xlfn.XLOOKUP(E60,Catálogo_Productos!$A:$A,Catálogo_Productos!$B:$D,"producto no encontrado")</f>
        <v>Escritorio Elevable</v>
      </c>
      <c r="I60" s="3" t="str">
        <v>Mobiliario</v>
      </c>
      <c r="J60" s="6">
        <v>420</v>
      </c>
      <c r="K60" s="6">
        <f t="shared" si="0"/>
        <v>1680</v>
      </c>
      <c r="L60" s="6">
        <f t="shared" si="1"/>
        <v>1680</v>
      </c>
      <c r="M60" s="19">
        <f t="shared" si="2"/>
        <v>0</v>
      </c>
    </row>
    <row r="61" spans="1:13" x14ac:dyDescent="0.25">
      <c r="A61" s="2" t="s">
        <v>138</v>
      </c>
      <c r="B61" s="2" t="s">
        <v>139</v>
      </c>
      <c r="C61" s="3" t="s">
        <v>31</v>
      </c>
      <c r="D61" s="3" t="s">
        <v>52</v>
      </c>
      <c r="E61" s="2" t="s">
        <v>32</v>
      </c>
      <c r="F61" s="4">
        <v>5</v>
      </c>
      <c r="G61" s="5">
        <v>0</v>
      </c>
      <c r="H61" s="3" t="str" cm="1">
        <f t="array" ref="H61:J61">_xlfn.XLOOKUP(E61,Catálogo_Productos!$A:$A,Catálogo_Productos!$B:$D,"producto no encontrado")</f>
        <v>Mouse Inalámbrico Pro</v>
      </c>
      <c r="I61" s="3" t="str">
        <v>Accesorios</v>
      </c>
      <c r="J61" s="6">
        <v>45</v>
      </c>
      <c r="K61" s="6">
        <f t="shared" si="0"/>
        <v>225</v>
      </c>
      <c r="L61" s="6">
        <f t="shared" si="1"/>
        <v>225</v>
      </c>
      <c r="M61" s="19">
        <f t="shared" si="2"/>
        <v>0</v>
      </c>
    </row>
    <row r="62" spans="1:13" x14ac:dyDescent="0.25">
      <c r="A62" s="2" t="s">
        <v>140</v>
      </c>
      <c r="B62" s="2" t="s">
        <v>141</v>
      </c>
      <c r="C62" s="3" t="s">
        <v>31</v>
      </c>
      <c r="D62" s="3" t="s">
        <v>40</v>
      </c>
      <c r="E62" s="2" t="s">
        <v>35</v>
      </c>
      <c r="F62" s="4">
        <v>2</v>
      </c>
      <c r="G62" s="5">
        <v>0.05</v>
      </c>
      <c r="H62" s="3" t="str" cm="1">
        <f t="array" ref="H62:J62">_xlfn.XLOOKUP(E62,Catálogo_Productos!$A:$A,Catálogo_Productos!$B:$D,"producto no encontrado")</f>
        <v>Audífonos Noise Cancelling</v>
      </c>
      <c r="I62" s="3" t="str">
        <v>Audio</v>
      </c>
      <c r="J62" s="6">
        <v>190</v>
      </c>
      <c r="K62" s="6">
        <f t="shared" si="0"/>
        <v>380</v>
      </c>
      <c r="L62" s="6">
        <f t="shared" si="1"/>
        <v>361</v>
      </c>
      <c r="M62" s="19">
        <f t="shared" si="2"/>
        <v>19</v>
      </c>
    </row>
    <row r="63" spans="1:13" x14ac:dyDescent="0.25">
      <c r="A63" s="2" t="s">
        <v>142</v>
      </c>
      <c r="B63" s="2" t="s">
        <v>143</v>
      </c>
      <c r="C63" s="3" t="s">
        <v>31</v>
      </c>
      <c r="D63" s="3" t="s">
        <v>15</v>
      </c>
      <c r="E63" s="2" t="s">
        <v>93</v>
      </c>
      <c r="F63" s="4">
        <v>5</v>
      </c>
      <c r="G63" s="5">
        <v>0</v>
      </c>
      <c r="H63" s="3" t="str" cm="1">
        <f t="array" ref="H63:J63">_xlfn.XLOOKUP(E63,Catálogo_Productos!$A:$A,Catálogo_Productos!$B:$D,"producto no encontrado")</f>
        <v>Monitor 4K 27"</v>
      </c>
      <c r="I63" s="3" t="str">
        <v>Tecnología</v>
      </c>
      <c r="J63" s="6">
        <v>350</v>
      </c>
      <c r="K63" s="6">
        <f t="shared" si="0"/>
        <v>1750</v>
      </c>
      <c r="L63" s="6">
        <f t="shared" si="1"/>
        <v>1750</v>
      </c>
      <c r="M63" s="19">
        <f t="shared" si="2"/>
        <v>0</v>
      </c>
    </row>
    <row r="64" spans="1:13" x14ac:dyDescent="0.25">
      <c r="A64" s="2" t="s">
        <v>144</v>
      </c>
      <c r="B64" s="2" t="s">
        <v>145</v>
      </c>
      <c r="C64" s="3" t="s">
        <v>23</v>
      </c>
      <c r="D64" s="3" t="s">
        <v>52</v>
      </c>
      <c r="E64" s="2" t="s">
        <v>60</v>
      </c>
      <c r="F64" s="4">
        <v>1</v>
      </c>
      <c r="G64" s="5">
        <v>0</v>
      </c>
      <c r="H64" s="3" t="str" cm="1">
        <f t="array" ref="H64:J64">_xlfn.XLOOKUP(E64,Catálogo_Productos!$A:$A,Catálogo_Productos!$B:$D,"producto no encontrado")</f>
        <v>Teclado Mecánico RGB</v>
      </c>
      <c r="I64" s="3" t="str">
        <v>Accesorios</v>
      </c>
      <c r="J64" s="6">
        <v>85</v>
      </c>
      <c r="K64" s="6">
        <f t="shared" si="0"/>
        <v>85</v>
      </c>
      <c r="L64" s="6">
        <f t="shared" si="1"/>
        <v>85</v>
      </c>
      <c r="M64" s="19">
        <f t="shared" si="2"/>
        <v>0</v>
      </c>
    </row>
    <row r="65" spans="1:13" x14ac:dyDescent="0.25">
      <c r="A65" s="2" t="s">
        <v>146</v>
      </c>
      <c r="B65" s="2" t="s">
        <v>147</v>
      </c>
      <c r="C65" s="3" t="s">
        <v>43</v>
      </c>
      <c r="D65" s="3" t="s">
        <v>40</v>
      </c>
      <c r="E65" s="2" t="s">
        <v>35</v>
      </c>
      <c r="F65" s="4">
        <v>1</v>
      </c>
      <c r="G65" s="5">
        <v>0.05</v>
      </c>
      <c r="H65" s="3" t="str" cm="1">
        <f t="array" ref="H65:J65">_xlfn.XLOOKUP(E65,Catálogo_Productos!$A:$A,Catálogo_Productos!$B:$D,"producto no encontrado")</f>
        <v>Audífonos Noise Cancelling</v>
      </c>
      <c r="I65" s="3" t="str">
        <v>Audio</v>
      </c>
      <c r="J65" s="6">
        <v>190</v>
      </c>
      <c r="K65" s="6">
        <f t="shared" si="0"/>
        <v>190</v>
      </c>
      <c r="L65" s="6">
        <f t="shared" si="1"/>
        <v>180.5</v>
      </c>
      <c r="M65" s="19">
        <f t="shared" si="2"/>
        <v>9.5</v>
      </c>
    </row>
    <row r="66" spans="1:13" x14ac:dyDescent="0.25">
      <c r="A66" s="2" t="s">
        <v>148</v>
      </c>
      <c r="B66" s="2" t="s">
        <v>149</v>
      </c>
      <c r="C66" s="3" t="s">
        <v>23</v>
      </c>
      <c r="D66" s="3" t="s">
        <v>15</v>
      </c>
      <c r="E66" s="2" t="s">
        <v>57</v>
      </c>
      <c r="F66" s="4">
        <v>7</v>
      </c>
      <c r="G66" s="5">
        <v>0</v>
      </c>
      <c r="H66" s="3" t="str" cm="1">
        <f t="array" ref="H66:J66">_xlfn.XLOOKUP(E66,Catálogo_Productos!$A:$A,Catálogo_Productos!$B:$D,"producto no encontrado")</f>
        <v>Escritorio Elevable</v>
      </c>
      <c r="I66" s="3" t="str">
        <v>Mobiliario</v>
      </c>
      <c r="J66" s="6">
        <v>420</v>
      </c>
      <c r="K66" s="6">
        <f t="shared" ref="K66:K129" si="3">F66*J66</f>
        <v>2940</v>
      </c>
      <c r="L66" s="6">
        <f t="shared" ref="L66:L129" si="4">K66*(1-G66)</f>
        <v>2940</v>
      </c>
      <c r="M66" s="19">
        <f t="shared" si="2"/>
        <v>0</v>
      </c>
    </row>
    <row r="67" spans="1:13" x14ac:dyDescent="0.25">
      <c r="A67" s="2" t="s">
        <v>150</v>
      </c>
      <c r="B67" s="2" t="s">
        <v>113</v>
      </c>
      <c r="C67" s="3" t="s">
        <v>19</v>
      </c>
      <c r="D67" s="3" t="s">
        <v>40</v>
      </c>
      <c r="E67" s="2" t="s">
        <v>32</v>
      </c>
      <c r="F67" s="4">
        <v>4</v>
      </c>
      <c r="G67" s="5">
        <v>0.05</v>
      </c>
      <c r="H67" s="3" t="str" cm="1">
        <f t="array" ref="H67:J67">_xlfn.XLOOKUP(E67,Catálogo_Productos!$A:$A,Catálogo_Productos!$B:$D,"producto no encontrado")</f>
        <v>Mouse Inalámbrico Pro</v>
      </c>
      <c r="I67" s="3" t="str">
        <v>Accesorios</v>
      </c>
      <c r="J67" s="6">
        <v>45</v>
      </c>
      <c r="K67" s="6">
        <f t="shared" si="3"/>
        <v>180</v>
      </c>
      <c r="L67" s="6">
        <f t="shared" si="4"/>
        <v>171</v>
      </c>
      <c r="M67" s="19">
        <f t="shared" ref="M67:M130" si="5">K67-L67</f>
        <v>9</v>
      </c>
    </row>
    <row r="68" spans="1:13" x14ac:dyDescent="0.25">
      <c r="A68" s="2" t="s">
        <v>151</v>
      </c>
      <c r="B68" s="2" t="s">
        <v>72</v>
      </c>
      <c r="C68" s="3" t="s">
        <v>43</v>
      </c>
      <c r="D68" s="3" t="s">
        <v>52</v>
      </c>
      <c r="E68" s="2" t="s">
        <v>93</v>
      </c>
      <c r="F68" s="4">
        <v>5</v>
      </c>
      <c r="G68" s="5">
        <v>0</v>
      </c>
      <c r="H68" s="3" t="str" cm="1">
        <f t="array" ref="H68:J68">_xlfn.XLOOKUP(E68,Catálogo_Productos!$A:$A,Catálogo_Productos!$B:$D,"producto no encontrado")</f>
        <v>Monitor 4K 27"</v>
      </c>
      <c r="I68" s="3" t="str">
        <v>Tecnología</v>
      </c>
      <c r="J68" s="6">
        <v>350</v>
      </c>
      <c r="K68" s="6">
        <f t="shared" si="3"/>
        <v>1750</v>
      </c>
      <c r="L68" s="6">
        <f t="shared" si="4"/>
        <v>1750</v>
      </c>
      <c r="M68" s="19">
        <f t="shared" si="5"/>
        <v>0</v>
      </c>
    </row>
    <row r="69" spans="1:13" x14ac:dyDescent="0.25">
      <c r="A69" s="2" t="s">
        <v>152</v>
      </c>
      <c r="B69" s="2" t="s">
        <v>153</v>
      </c>
      <c r="C69" s="3" t="s">
        <v>14</v>
      </c>
      <c r="D69" s="3" t="s">
        <v>20</v>
      </c>
      <c r="E69" s="2" t="s">
        <v>57</v>
      </c>
      <c r="F69" s="4">
        <v>1</v>
      </c>
      <c r="G69" s="5">
        <v>0.15</v>
      </c>
      <c r="H69" s="3" t="str" cm="1">
        <f t="array" ref="H69:J69">_xlfn.XLOOKUP(E69,Catálogo_Productos!$A:$A,Catálogo_Productos!$B:$D,"producto no encontrado")</f>
        <v>Escritorio Elevable</v>
      </c>
      <c r="I69" s="3" t="str">
        <v>Mobiliario</v>
      </c>
      <c r="J69" s="6">
        <v>420</v>
      </c>
      <c r="K69" s="6">
        <f t="shared" si="3"/>
        <v>420</v>
      </c>
      <c r="L69" s="6">
        <f t="shared" si="4"/>
        <v>357</v>
      </c>
      <c r="M69" s="19">
        <f t="shared" si="5"/>
        <v>63</v>
      </c>
    </row>
    <row r="70" spans="1:13" x14ac:dyDescent="0.25">
      <c r="A70" s="2" t="s">
        <v>154</v>
      </c>
      <c r="B70" s="2" t="s">
        <v>155</v>
      </c>
      <c r="C70" s="3" t="s">
        <v>43</v>
      </c>
      <c r="D70" s="3" t="s">
        <v>15</v>
      </c>
      <c r="E70" s="2" t="s">
        <v>16</v>
      </c>
      <c r="F70" s="4">
        <v>1</v>
      </c>
      <c r="G70" s="5">
        <v>0.1</v>
      </c>
      <c r="H70" s="3" t="str" cm="1">
        <f t="array" ref="H70:J70">_xlfn.XLOOKUP(E70,Catálogo_Productos!$A:$A,Catálogo_Productos!$B:$D,"producto no encontrado")</f>
        <v>Micrófono USB Studio</v>
      </c>
      <c r="I70" s="3" t="str">
        <v>Audio</v>
      </c>
      <c r="J70" s="6">
        <v>130</v>
      </c>
      <c r="K70" s="6">
        <f t="shared" si="3"/>
        <v>130</v>
      </c>
      <c r="L70" s="6">
        <f t="shared" si="4"/>
        <v>117</v>
      </c>
      <c r="M70" s="19">
        <f t="shared" si="5"/>
        <v>13</v>
      </c>
    </row>
    <row r="71" spans="1:13" x14ac:dyDescent="0.25">
      <c r="A71" s="2" t="s">
        <v>156</v>
      </c>
      <c r="B71" s="2" t="s">
        <v>157</v>
      </c>
      <c r="C71" s="3" t="s">
        <v>31</v>
      </c>
      <c r="D71" s="3" t="s">
        <v>40</v>
      </c>
      <c r="E71" s="2" t="s">
        <v>57</v>
      </c>
      <c r="F71" s="4">
        <v>7</v>
      </c>
      <c r="G71" s="5">
        <v>0.05</v>
      </c>
      <c r="H71" s="3" t="str" cm="1">
        <f t="array" ref="H71:J71">_xlfn.XLOOKUP(E71,Catálogo_Productos!$A:$A,Catálogo_Productos!$B:$D,"producto no encontrado")</f>
        <v>Escritorio Elevable</v>
      </c>
      <c r="I71" s="3" t="str">
        <v>Mobiliario</v>
      </c>
      <c r="J71" s="6">
        <v>420</v>
      </c>
      <c r="K71" s="6">
        <f t="shared" si="3"/>
        <v>2940</v>
      </c>
      <c r="L71" s="6">
        <f t="shared" si="4"/>
        <v>2793</v>
      </c>
      <c r="M71" s="19">
        <f t="shared" si="5"/>
        <v>147</v>
      </c>
    </row>
    <row r="72" spans="1:13" x14ac:dyDescent="0.25">
      <c r="A72" s="2" t="s">
        <v>158</v>
      </c>
      <c r="B72" s="2" t="s">
        <v>159</v>
      </c>
      <c r="C72" s="3" t="s">
        <v>31</v>
      </c>
      <c r="D72" s="3" t="s">
        <v>15</v>
      </c>
      <c r="E72" s="2" t="s">
        <v>32</v>
      </c>
      <c r="F72" s="4">
        <v>4</v>
      </c>
      <c r="G72" s="5">
        <v>0</v>
      </c>
      <c r="H72" s="3" t="str" cm="1">
        <f t="array" ref="H72:J72">_xlfn.XLOOKUP(E72,Catálogo_Productos!$A:$A,Catálogo_Productos!$B:$D,"producto no encontrado")</f>
        <v>Mouse Inalámbrico Pro</v>
      </c>
      <c r="I72" s="3" t="str">
        <v>Accesorios</v>
      </c>
      <c r="J72" s="6">
        <v>45</v>
      </c>
      <c r="K72" s="6">
        <f t="shared" si="3"/>
        <v>180</v>
      </c>
      <c r="L72" s="6">
        <f t="shared" si="4"/>
        <v>180</v>
      </c>
      <c r="M72" s="19">
        <f t="shared" si="5"/>
        <v>0</v>
      </c>
    </row>
    <row r="73" spans="1:13" x14ac:dyDescent="0.25">
      <c r="A73" s="2" t="s">
        <v>160</v>
      </c>
      <c r="B73" s="2" t="s">
        <v>161</v>
      </c>
      <c r="C73" s="3" t="s">
        <v>23</v>
      </c>
      <c r="D73" s="3" t="s">
        <v>20</v>
      </c>
      <c r="E73" s="2" t="s">
        <v>28</v>
      </c>
      <c r="F73" s="4">
        <v>1</v>
      </c>
      <c r="G73" s="5">
        <v>0.1</v>
      </c>
      <c r="H73" s="3" t="str" cm="1">
        <f t="array" ref="H73:J73">_xlfn.XLOOKUP(E73,Catálogo_Productos!$A:$A,Catálogo_Productos!$B:$D,"producto no encontrado")</f>
        <v>Laptop Pro 15</v>
      </c>
      <c r="I73" s="3" t="str">
        <v>Tecnología</v>
      </c>
      <c r="J73" s="6">
        <v>1200</v>
      </c>
      <c r="K73" s="6">
        <f t="shared" si="3"/>
        <v>1200</v>
      </c>
      <c r="L73" s="6">
        <f t="shared" si="4"/>
        <v>1080</v>
      </c>
      <c r="M73" s="19">
        <f t="shared" si="5"/>
        <v>120</v>
      </c>
    </row>
    <row r="74" spans="1:13" x14ac:dyDescent="0.25">
      <c r="A74" s="2" t="s">
        <v>162</v>
      </c>
      <c r="B74" s="2" t="s">
        <v>163</v>
      </c>
      <c r="C74" s="3" t="s">
        <v>31</v>
      </c>
      <c r="D74" s="3" t="s">
        <v>20</v>
      </c>
      <c r="E74" s="2" t="s">
        <v>24</v>
      </c>
      <c r="F74" s="4">
        <v>5</v>
      </c>
      <c r="G74" s="5">
        <v>0</v>
      </c>
      <c r="H74" s="3" t="str" cm="1">
        <f t="array" ref="H74:J74">_xlfn.XLOOKUP(E74,Catálogo_Productos!$A:$A,Catálogo_Productos!$B:$D,"producto no encontrado")</f>
        <v>Silla Ergonómica</v>
      </c>
      <c r="I74" s="3" t="str">
        <v>Mobiliario</v>
      </c>
      <c r="J74" s="6">
        <v>280</v>
      </c>
      <c r="K74" s="6">
        <f t="shared" si="3"/>
        <v>1400</v>
      </c>
      <c r="L74" s="6">
        <f t="shared" si="4"/>
        <v>1400</v>
      </c>
      <c r="M74" s="19">
        <f t="shared" si="5"/>
        <v>0</v>
      </c>
    </row>
    <row r="75" spans="1:13" x14ac:dyDescent="0.25">
      <c r="A75" s="2" t="s">
        <v>164</v>
      </c>
      <c r="B75" s="2" t="s">
        <v>80</v>
      </c>
      <c r="C75" s="3" t="s">
        <v>14</v>
      </c>
      <c r="D75" s="3" t="s">
        <v>52</v>
      </c>
      <c r="E75" s="2" t="s">
        <v>93</v>
      </c>
      <c r="F75" s="4">
        <v>4</v>
      </c>
      <c r="G75" s="5">
        <v>0</v>
      </c>
      <c r="H75" s="3" t="str" cm="1">
        <f t="array" ref="H75:J75">_xlfn.XLOOKUP(E75,Catálogo_Productos!$A:$A,Catálogo_Productos!$B:$D,"producto no encontrado")</f>
        <v>Monitor 4K 27"</v>
      </c>
      <c r="I75" s="3" t="str">
        <v>Tecnología</v>
      </c>
      <c r="J75" s="6">
        <v>350</v>
      </c>
      <c r="K75" s="6">
        <f t="shared" si="3"/>
        <v>1400</v>
      </c>
      <c r="L75" s="6">
        <f t="shared" si="4"/>
        <v>1400</v>
      </c>
      <c r="M75" s="19">
        <f t="shared" si="5"/>
        <v>0</v>
      </c>
    </row>
    <row r="76" spans="1:13" x14ac:dyDescent="0.25">
      <c r="A76" s="2" t="s">
        <v>165</v>
      </c>
      <c r="B76" s="2" t="s">
        <v>26</v>
      </c>
      <c r="C76" s="3" t="s">
        <v>27</v>
      </c>
      <c r="D76" s="3" t="s">
        <v>40</v>
      </c>
      <c r="E76" s="2" t="s">
        <v>16</v>
      </c>
      <c r="F76" s="4">
        <v>3</v>
      </c>
      <c r="G76" s="5">
        <v>0.05</v>
      </c>
      <c r="H76" s="3" t="str" cm="1">
        <f t="array" ref="H76:J76">_xlfn.XLOOKUP(E76,Catálogo_Productos!$A:$A,Catálogo_Productos!$B:$D,"producto no encontrado")</f>
        <v>Micrófono USB Studio</v>
      </c>
      <c r="I76" s="3" t="str">
        <v>Audio</v>
      </c>
      <c r="J76" s="6">
        <v>130</v>
      </c>
      <c r="K76" s="6">
        <f t="shared" si="3"/>
        <v>390</v>
      </c>
      <c r="L76" s="6">
        <f t="shared" si="4"/>
        <v>370.5</v>
      </c>
      <c r="M76" s="19">
        <f t="shared" si="5"/>
        <v>19.5</v>
      </c>
    </row>
    <row r="77" spans="1:13" x14ac:dyDescent="0.25">
      <c r="A77" s="2" t="s">
        <v>166</v>
      </c>
      <c r="B77" s="2" t="s">
        <v>167</v>
      </c>
      <c r="C77" s="3" t="s">
        <v>14</v>
      </c>
      <c r="D77" s="3" t="s">
        <v>40</v>
      </c>
      <c r="E77" s="2" t="s">
        <v>28</v>
      </c>
      <c r="F77" s="4">
        <v>2</v>
      </c>
      <c r="G77" s="5">
        <v>0.15</v>
      </c>
      <c r="H77" s="3" t="str" cm="1">
        <f t="array" ref="H77:J77">_xlfn.XLOOKUP(E77,Catálogo_Productos!$A:$A,Catálogo_Productos!$B:$D,"producto no encontrado")</f>
        <v>Laptop Pro 15</v>
      </c>
      <c r="I77" s="3" t="str">
        <v>Tecnología</v>
      </c>
      <c r="J77" s="6">
        <v>1200</v>
      </c>
      <c r="K77" s="6">
        <f t="shared" si="3"/>
        <v>2400</v>
      </c>
      <c r="L77" s="6">
        <f t="shared" si="4"/>
        <v>2040</v>
      </c>
      <c r="M77" s="19">
        <f t="shared" si="5"/>
        <v>360</v>
      </c>
    </row>
    <row r="78" spans="1:13" x14ac:dyDescent="0.25">
      <c r="A78" s="2" t="s">
        <v>168</v>
      </c>
      <c r="B78" s="2" t="s">
        <v>169</v>
      </c>
      <c r="C78" s="3" t="s">
        <v>43</v>
      </c>
      <c r="D78" s="3" t="s">
        <v>20</v>
      </c>
      <c r="E78" s="2" t="s">
        <v>16</v>
      </c>
      <c r="F78" s="4">
        <v>4</v>
      </c>
      <c r="G78" s="5">
        <v>0</v>
      </c>
      <c r="H78" s="3" t="str" cm="1">
        <f t="array" ref="H78:J78">_xlfn.XLOOKUP(E78,Catálogo_Productos!$A:$A,Catálogo_Productos!$B:$D,"producto no encontrado")</f>
        <v>Micrófono USB Studio</v>
      </c>
      <c r="I78" s="3" t="str">
        <v>Audio</v>
      </c>
      <c r="J78" s="6">
        <v>130</v>
      </c>
      <c r="K78" s="6">
        <f t="shared" si="3"/>
        <v>520</v>
      </c>
      <c r="L78" s="6">
        <f t="shared" si="4"/>
        <v>520</v>
      </c>
      <c r="M78" s="19">
        <f t="shared" si="5"/>
        <v>0</v>
      </c>
    </row>
    <row r="79" spans="1:13" x14ac:dyDescent="0.25">
      <c r="A79" s="2" t="s">
        <v>170</v>
      </c>
      <c r="B79" s="2" t="s">
        <v>171</v>
      </c>
      <c r="C79" s="3" t="s">
        <v>14</v>
      </c>
      <c r="D79" s="3" t="s">
        <v>52</v>
      </c>
      <c r="E79" s="2" t="s">
        <v>60</v>
      </c>
      <c r="F79" s="4">
        <v>7</v>
      </c>
      <c r="G79" s="5">
        <v>0</v>
      </c>
      <c r="H79" s="3" t="str" cm="1">
        <f t="array" ref="H79:J79">_xlfn.XLOOKUP(E79,Catálogo_Productos!$A:$A,Catálogo_Productos!$B:$D,"producto no encontrado")</f>
        <v>Teclado Mecánico RGB</v>
      </c>
      <c r="I79" s="3" t="str">
        <v>Accesorios</v>
      </c>
      <c r="J79" s="6">
        <v>85</v>
      </c>
      <c r="K79" s="6">
        <f t="shared" si="3"/>
        <v>595</v>
      </c>
      <c r="L79" s="6">
        <f t="shared" si="4"/>
        <v>595</v>
      </c>
      <c r="M79" s="19">
        <f t="shared" si="5"/>
        <v>0</v>
      </c>
    </row>
    <row r="80" spans="1:13" x14ac:dyDescent="0.25">
      <c r="A80" s="2" t="s">
        <v>172</v>
      </c>
      <c r="B80" s="2" t="s">
        <v>173</v>
      </c>
      <c r="C80" s="3" t="s">
        <v>43</v>
      </c>
      <c r="D80" s="3" t="s">
        <v>52</v>
      </c>
      <c r="E80" s="2" t="s">
        <v>35</v>
      </c>
      <c r="F80" s="4">
        <v>4</v>
      </c>
      <c r="G80" s="5">
        <v>0.15</v>
      </c>
      <c r="H80" s="3" t="str" cm="1">
        <f t="array" ref="H80:J80">_xlfn.XLOOKUP(E80,Catálogo_Productos!$A:$A,Catálogo_Productos!$B:$D,"producto no encontrado")</f>
        <v>Audífonos Noise Cancelling</v>
      </c>
      <c r="I80" s="3" t="str">
        <v>Audio</v>
      </c>
      <c r="J80" s="6">
        <v>190</v>
      </c>
      <c r="K80" s="6">
        <f t="shared" si="3"/>
        <v>760</v>
      </c>
      <c r="L80" s="6">
        <f t="shared" si="4"/>
        <v>646</v>
      </c>
      <c r="M80" s="19">
        <f t="shared" si="5"/>
        <v>114</v>
      </c>
    </row>
    <row r="81" spans="1:13" x14ac:dyDescent="0.25">
      <c r="A81" s="2" t="s">
        <v>174</v>
      </c>
      <c r="B81" s="2" t="s">
        <v>175</v>
      </c>
      <c r="C81" s="3" t="s">
        <v>14</v>
      </c>
      <c r="D81" s="3" t="s">
        <v>52</v>
      </c>
      <c r="E81" s="2" t="s">
        <v>24</v>
      </c>
      <c r="F81" s="4">
        <v>1</v>
      </c>
      <c r="G81" s="5">
        <v>0.1</v>
      </c>
      <c r="H81" s="3" t="str" cm="1">
        <f t="array" ref="H81:J81">_xlfn.XLOOKUP(E81,Catálogo_Productos!$A:$A,Catálogo_Productos!$B:$D,"producto no encontrado")</f>
        <v>Silla Ergonómica</v>
      </c>
      <c r="I81" s="3" t="str">
        <v>Mobiliario</v>
      </c>
      <c r="J81" s="6">
        <v>280</v>
      </c>
      <c r="K81" s="6">
        <f t="shared" si="3"/>
        <v>280</v>
      </c>
      <c r="L81" s="6">
        <f t="shared" si="4"/>
        <v>252</v>
      </c>
      <c r="M81" s="19">
        <f t="shared" si="5"/>
        <v>28</v>
      </c>
    </row>
    <row r="82" spans="1:13" x14ac:dyDescent="0.25">
      <c r="A82" s="2" t="s">
        <v>176</v>
      </c>
      <c r="B82" s="2" t="s">
        <v>139</v>
      </c>
      <c r="C82" s="3" t="s">
        <v>31</v>
      </c>
      <c r="D82" s="3" t="s">
        <v>15</v>
      </c>
      <c r="E82" s="2" t="s">
        <v>57</v>
      </c>
      <c r="F82" s="4">
        <v>3</v>
      </c>
      <c r="G82" s="5">
        <v>0</v>
      </c>
      <c r="H82" s="3" t="str" cm="1">
        <f t="array" ref="H82:J82">_xlfn.XLOOKUP(E82,Catálogo_Productos!$A:$A,Catálogo_Productos!$B:$D,"producto no encontrado")</f>
        <v>Escritorio Elevable</v>
      </c>
      <c r="I82" s="3" t="str">
        <v>Mobiliario</v>
      </c>
      <c r="J82" s="6">
        <v>420</v>
      </c>
      <c r="K82" s="6">
        <f t="shared" si="3"/>
        <v>1260</v>
      </c>
      <c r="L82" s="6">
        <f t="shared" si="4"/>
        <v>1260</v>
      </c>
      <c r="M82" s="19">
        <f t="shared" si="5"/>
        <v>0</v>
      </c>
    </row>
    <row r="83" spans="1:13" x14ac:dyDescent="0.25">
      <c r="A83" s="2" t="s">
        <v>177</v>
      </c>
      <c r="B83" s="2" t="s">
        <v>80</v>
      </c>
      <c r="C83" s="3" t="s">
        <v>43</v>
      </c>
      <c r="D83" s="3" t="s">
        <v>15</v>
      </c>
      <c r="E83" s="2" t="s">
        <v>93</v>
      </c>
      <c r="F83" s="4">
        <v>7</v>
      </c>
      <c r="G83" s="5">
        <v>0.1</v>
      </c>
      <c r="H83" s="3" t="str" cm="1">
        <f t="array" ref="H83:J83">_xlfn.XLOOKUP(E83,Catálogo_Productos!$A:$A,Catálogo_Productos!$B:$D,"producto no encontrado")</f>
        <v>Monitor 4K 27"</v>
      </c>
      <c r="I83" s="3" t="str">
        <v>Tecnología</v>
      </c>
      <c r="J83" s="6">
        <v>350</v>
      </c>
      <c r="K83" s="6">
        <f t="shared" si="3"/>
        <v>2450</v>
      </c>
      <c r="L83" s="6">
        <f t="shared" si="4"/>
        <v>2205</v>
      </c>
      <c r="M83" s="19">
        <f t="shared" si="5"/>
        <v>245</v>
      </c>
    </row>
    <row r="84" spans="1:13" x14ac:dyDescent="0.25">
      <c r="A84" s="2" t="s">
        <v>178</v>
      </c>
      <c r="B84" s="2" t="s">
        <v>179</v>
      </c>
      <c r="C84" s="3" t="s">
        <v>31</v>
      </c>
      <c r="D84" s="3" t="s">
        <v>15</v>
      </c>
      <c r="E84" s="2" t="s">
        <v>93</v>
      </c>
      <c r="F84" s="4">
        <v>5</v>
      </c>
      <c r="G84" s="5">
        <v>0.05</v>
      </c>
      <c r="H84" s="3" t="str" cm="1">
        <f t="array" ref="H84:J84">_xlfn.XLOOKUP(E84,Catálogo_Productos!$A:$A,Catálogo_Productos!$B:$D,"producto no encontrado")</f>
        <v>Monitor 4K 27"</v>
      </c>
      <c r="I84" s="3" t="str">
        <v>Tecnología</v>
      </c>
      <c r="J84" s="6">
        <v>350</v>
      </c>
      <c r="K84" s="6">
        <f t="shared" si="3"/>
        <v>1750</v>
      </c>
      <c r="L84" s="6">
        <f t="shared" si="4"/>
        <v>1662.5</v>
      </c>
      <c r="M84" s="19">
        <f t="shared" si="5"/>
        <v>87.5</v>
      </c>
    </row>
    <row r="85" spans="1:13" x14ac:dyDescent="0.25">
      <c r="A85" s="2" t="s">
        <v>180</v>
      </c>
      <c r="B85" s="2" t="s">
        <v>181</v>
      </c>
      <c r="C85" s="3" t="s">
        <v>43</v>
      </c>
      <c r="D85" s="3" t="s">
        <v>15</v>
      </c>
      <c r="E85" s="2" t="s">
        <v>24</v>
      </c>
      <c r="F85" s="4">
        <v>1</v>
      </c>
      <c r="G85" s="5">
        <v>0.15</v>
      </c>
      <c r="H85" s="3" t="str" cm="1">
        <f t="array" ref="H85:J85">_xlfn.XLOOKUP(E85,Catálogo_Productos!$A:$A,Catálogo_Productos!$B:$D,"producto no encontrado")</f>
        <v>Silla Ergonómica</v>
      </c>
      <c r="I85" s="3" t="str">
        <v>Mobiliario</v>
      </c>
      <c r="J85" s="6">
        <v>280</v>
      </c>
      <c r="K85" s="6">
        <f t="shared" si="3"/>
        <v>280</v>
      </c>
      <c r="L85" s="6">
        <f t="shared" si="4"/>
        <v>238</v>
      </c>
      <c r="M85" s="19">
        <f t="shared" si="5"/>
        <v>42</v>
      </c>
    </row>
    <row r="86" spans="1:13" x14ac:dyDescent="0.25">
      <c r="A86" s="2" t="s">
        <v>182</v>
      </c>
      <c r="B86" s="2" t="s">
        <v>183</v>
      </c>
      <c r="C86" s="3" t="s">
        <v>14</v>
      </c>
      <c r="D86" s="3" t="s">
        <v>15</v>
      </c>
      <c r="E86" s="2" t="s">
        <v>35</v>
      </c>
      <c r="F86" s="4">
        <v>4</v>
      </c>
      <c r="G86" s="5">
        <v>0.15</v>
      </c>
      <c r="H86" s="3" t="str" cm="1">
        <f t="array" ref="H86:J86">_xlfn.XLOOKUP(E86,Catálogo_Productos!$A:$A,Catálogo_Productos!$B:$D,"producto no encontrado")</f>
        <v>Audífonos Noise Cancelling</v>
      </c>
      <c r="I86" s="3" t="str">
        <v>Audio</v>
      </c>
      <c r="J86" s="6">
        <v>190</v>
      </c>
      <c r="K86" s="6">
        <f t="shared" si="3"/>
        <v>760</v>
      </c>
      <c r="L86" s="6">
        <f t="shared" si="4"/>
        <v>646</v>
      </c>
      <c r="M86" s="19">
        <f t="shared" si="5"/>
        <v>114</v>
      </c>
    </row>
    <row r="87" spans="1:13" x14ac:dyDescent="0.25">
      <c r="A87" s="2" t="s">
        <v>184</v>
      </c>
      <c r="B87" s="2" t="s">
        <v>159</v>
      </c>
      <c r="C87" s="3" t="s">
        <v>31</v>
      </c>
      <c r="D87" s="3" t="s">
        <v>40</v>
      </c>
      <c r="E87" s="2" t="s">
        <v>28</v>
      </c>
      <c r="F87" s="4">
        <v>5</v>
      </c>
      <c r="G87" s="5">
        <v>0</v>
      </c>
      <c r="H87" s="3" t="str" cm="1">
        <f t="array" ref="H87:J87">_xlfn.XLOOKUP(E87,Catálogo_Productos!$A:$A,Catálogo_Productos!$B:$D,"producto no encontrado")</f>
        <v>Laptop Pro 15</v>
      </c>
      <c r="I87" s="3" t="str">
        <v>Tecnología</v>
      </c>
      <c r="J87" s="6">
        <v>1200</v>
      </c>
      <c r="K87" s="6">
        <f t="shared" si="3"/>
        <v>6000</v>
      </c>
      <c r="L87" s="6">
        <f t="shared" si="4"/>
        <v>6000</v>
      </c>
      <c r="M87" s="19">
        <f t="shared" si="5"/>
        <v>0</v>
      </c>
    </row>
    <row r="88" spans="1:13" x14ac:dyDescent="0.25">
      <c r="A88" s="2" t="s">
        <v>185</v>
      </c>
      <c r="B88" s="2" t="s">
        <v>186</v>
      </c>
      <c r="C88" s="3" t="s">
        <v>43</v>
      </c>
      <c r="D88" s="3" t="s">
        <v>15</v>
      </c>
      <c r="E88" s="2" t="s">
        <v>16</v>
      </c>
      <c r="F88" s="4">
        <v>7</v>
      </c>
      <c r="G88" s="5">
        <v>0</v>
      </c>
      <c r="H88" s="3" t="str" cm="1">
        <f t="array" ref="H88:J88">_xlfn.XLOOKUP(E88,Catálogo_Productos!$A:$A,Catálogo_Productos!$B:$D,"producto no encontrado")</f>
        <v>Micrófono USB Studio</v>
      </c>
      <c r="I88" s="3" t="str">
        <v>Audio</v>
      </c>
      <c r="J88" s="6">
        <v>130</v>
      </c>
      <c r="K88" s="6">
        <f t="shared" si="3"/>
        <v>910</v>
      </c>
      <c r="L88" s="6">
        <f t="shared" si="4"/>
        <v>910</v>
      </c>
      <c r="M88" s="19">
        <f t="shared" si="5"/>
        <v>0</v>
      </c>
    </row>
    <row r="89" spans="1:13" x14ac:dyDescent="0.25">
      <c r="A89" s="2" t="s">
        <v>187</v>
      </c>
      <c r="B89" s="2" t="s">
        <v>188</v>
      </c>
      <c r="C89" s="3" t="s">
        <v>23</v>
      </c>
      <c r="D89" s="3" t="s">
        <v>15</v>
      </c>
      <c r="E89" s="2" t="s">
        <v>28</v>
      </c>
      <c r="F89" s="4">
        <v>1</v>
      </c>
      <c r="G89" s="5">
        <v>0.05</v>
      </c>
      <c r="H89" s="3" t="str" cm="1">
        <f t="array" ref="H89:J89">_xlfn.XLOOKUP(E89,Catálogo_Productos!$A:$A,Catálogo_Productos!$B:$D,"producto no encontrado")</f>
        <v>Laptop Pro 15</v>
      </c>
      <c r="I89" s="3" t="str">
        <v>Tecnología</v>
      </c>
      <c r="J89" s="6">
        <v>1200</v>
      </c>
      <c r="K89" s="6">
        <f t="shared" si="3"/>
        <v>1200</v>
      </c>
      <c r="L89" s="6">
        <f t="shared" si="4"/>
        <v>1140</v>
      </c>
      <c r="M89" s="19">
        <f t="shared" si="5"/>
        <v>60</v>
      </c>
    </row>
    <row r="90" spans="1:13" x14ac:dyDescent="0.25">
      <c r="A90" s="2" t="s">
        <v>189</v>
      </c>
      <c r="B90" s="2" t="s">
        <v>173</v>
      </c>
      <c r="C90" s="3" t="s">
        <v>14</v>
      </c>
      <c r="D90" s="3" t="s">
        <v>15</v>
      </c>
      <c r="E90" s="2" t="s">
        <v>32</v>
      </c>
      <c r="F90" s="4">
        <v>1</v>
      </c>
      <c r="G90" s="5">
        <v>0.1</v>
      </c>
      <c r="H90" s="3" t="str" cm="1">
        <f t="array" ref="H90:J90">_xlfn.XLOOKUP(E90,Catálogo_Productos!$A:$A,Catálogo_Productos!$B:$D,"producto no encontrado")</f>
        <v>Mouse Inalámbrico Pro</v>
      </c>
      <c r="I90" s="3" t="str">
        <v>Accesorios</v>
      </c>
      <c r="J90" s="6">
        <v>45</v>
      </c>
      <c r="K90" s="6">
        <f t="shared" si="3"/>
        <v>45</v>
      </c>
      <c r="L90" s="6">
        <f t="shared" si="4"/>
        <v>40.5</v>
      </c>
      <c r="M90" s="19">
        <f t="shared" si="5"/>
        <v>4.5</v>
      </c>
    </row>
    <row r="91" spans="1:13" x14ac:dyDescent="0.25">
      <c r="A91" s="2" t="s">
        <v>190</v>
      </c>
      <c r="B91" s="2" t="s">
        <v>37</v>
      </c>
      <c r="C91" s="3" t="s">
        <v>14</v>
      </c>
      <c r="D91" s="3" t="s">
        <v>15</v>
      </c>
      <c r="E91" s="2" t="s">
        <v>28</v>
      </c>
      <c r="F91" s="4">
        <v>2</v>
      </c>
      <c r="G91" s="5">
        <v>0</v>
      </c>
      <c r="H91" s="3" t="str" cm="1">
        <f t="array" ref="H91:J91">_xlfn.XLOOKUP(E91,Catálogo_Productos!$A:$A,Catálogo_Productos!$B:$D,"producto no encontrado")</f>
        <v>Laptop Pro 15</v>
      </c>
      <c r="I91" s="3" t="str">
        <v>Tecnología</v>
      </c>
      <c r="J91" s="6">
        <v>1200</v>
      </c>
      <c r="K91" s="6">
        <f t="shared" si="3"/>
        <v>2400</v>
      </c>
      <c r="L91" s="6">
        <f t="shared" si="4"/>
        <v>2400</v>
      </c>
      <c r="M91" s="19">
        <f t="shared" si="5"/>
        <v>0</v>
      </c>
    </row>
    <row r="92" spans="1:13" x14ac:dyDescent="0.25">
      <c r="A92" s="2" t="s">
        <v>191</v>
      </c>
      <c r="B92" s="2" t="s">
        <v>192</v>
      </c>
      <c r="C92" s="3" t="s">
        <v>31</v>
      </c>
      <c r="D92" s="3" t="s">
        <v>52</v>
      </c>
      <c r="E92" s="2" t="s">
        <v>93</v>
      </c>
      <c r="F92" s="4">
        <v>5</v>
      </c>
      <c r="G92" s="5">
        <v>0.05</v>
      </c>
      <c r="H92" s="3" t="str" cm="1">
        <f t="array" ref="H92:J92">_xlfn.XLOOKUP(E92,Catálogo_Productos!$A:$A,Catálogo_Productos!$B:$D,"producto no encontrado")</f>
        <v>Monitor 4K 27"</v>
      </c>
      <c r="I92" s="3" t="str">
        <v>Tecnología</v>
      </c>
      <c r="J92" s="6">
        <v>350</v>
      </c>
      <c r="K92" s="6">
        <f t="shared" si="3"/>
        <v>1750</v>
      </c>
      <c r="L92" s="6">
        <f t="shared" si="4"/>
        <v>1662.5</v>
      </c>
      <c r="M92" s="19">
        <f t="shared" si="5"/>
        <v>87.5</v>
      </c>
    </row>
    <row r="93" spans="1:13" x14ac:dyDescent="0.25">
      <c r="A93" s="2" t="s">
        <v>193</v>
      </c>
      <c r="B93" s="2" t="s">
        <v>47</v>
      </c>
      <c r="C93" s="3" t="s">
        <v>27</v>
      </c>
      <c r="D93" s="3" t="s">
        <v>40</v>
      </c>
      <c r="E93" s="2" t="s">
        <v>35</v>
      </c>
      <c r="F93" s="4">
        <v>7</v>
      </c>
      <c r="G93" s="5">
        <v>0</v>
      </c>
      <c r="H93" s="3" t="str" cm="1">
        <f t="array" ref="H93:J93">_xlfn.XLOOKUP(E93,Catálogo_Productos!$A:$A,Catálogo_Productos!$B:$D,"producto no encontrado")</f>
        <v>Audífonos Noise Cancelling</v>
      </c>
      <c r="I93" s="3" t="str">
        <v>Audio</v>
      </c>
      <c r="J93" s="6">
        <v>190</v>
      </c>
      <c r="K93" s="6">
        <f t="shared" si="3"/>
        <v>1330</v>
      </c>
      <c r="L93" s="6">
        <f t="shared" si="4"/>
        <v>1330</v>
      </c>
      <c r="M93" s="19">
        <f t="shared" si="5"/>
        <v>0</v>
      </c>
    </row>
    <row r="94" spans="1:13" x14ac:dyDescent="0.25">
      <c r="A94" s="2" t="s">
        <v>194</v>
      </c>
      <c r="B94" s="2" t="s">
        <v>195</v>
      </c>
      <c r="C94" s="3" t="s">
        <v>23</v>
      </c>
      <c r="D94" s="3" t="s">
        <v>40</v>
      </c>
      <c r="E94" s="2" t="s">
        <v>35</v>
      </c>
      <c r="F94" s="4">
        <v>5</v>
      </c>
      <c r="G94" s="5">
        <v>0.15</v>
      </c>
      <c r="H94" s="3" t="str" cm="1">
        <f t="array" ref="H94:J94">_xlfn.XLOOKUP(E94,Catálogo_Productos!$A:$A,Catálogo_Productos!$B:$D,"producto no encontrado")</f>
        <v>Audífonos Noise Cancelling</v>
      </c>
      <c r="I94" s="3" t="str">
        <v>Audio</v>
      </c>
      <c r="J94" s="6">
        <v>190</v>
      </c>
      <c r="K94" s="6">
        <f t="shared" si="3"/>
        <v>950</v>
      </c>
      <c r="L94" s="6">
        <f t="shared" si="4"/>
        <v>807.5</v>
      </c>
      <c r="M94" s="19">
        <f t="shared" si="5"/>
        <v>142.5</v>
      </c>
    </row>
    <row r="95" spans="1:13" x14ac:dyDescent="0.25">
      <c r="A95" s="2" t="s">
        <v>196</v>
      </c>
      <c r="B95" s="2" t="s">
        <v>197</v>
      </c>
      <c r="C95" s="3" t="s">
        <v>31</v>
      </c>
      <c r="D95" s="3" t="s">
        <v>40</v>
      </c>
      <c r="E95" s="2" t="s">
        <v>60</v>
      </c>
      <c r="F95" s="4">
        <v>3</v>
      </c>
      <c r="G95" s="5">
        <v>0.05</v>
      </c>
      <c r="H95" s="3" t="str" cm="1">
        <f t="array" ref="H95:J95">_xlfn.XLOOKUP(E95,Catálogo_Productos!$A:$A,Catálogo_Productos!$B:$D,"producto no encontrado")</f>
        <v>Teclado Mecánico RGB</v>
      </c>
      <c r="I95" s="3" t="str">
        <v>Accesorios</v>
      </c>
      <c r="J95" s="6">
        <v>85</v>
      </c>
      <c r="K95" s="6">
        <f t="shared" si="3"/>
        <v>255</v>
      </c>
      <c r="L95" s="6">
        <f t="shared" si="4"/>
        <v>242.25</v>
      </c>
      <c r="M95" s="19">
        <f t="shared" si="5"/>
        <v>12.75</v>
      </c>
    </row>
    <row r="96" spans="1:13" x14ac:dyDescent="0.25">
      <c r="A96" s="2" t="s">
        <v>198</v>
      </c>
      <c r="B96" s="2" t="s">
        <v>199</v>
      </c>
      <c r="C96" s="3" t="s">
        <v>43</v>
      </c>
      <c r="D96" s="3" t="s">
        <v>52</v>
      </c>
      <c r="E96" s="2" t="s">
        <v>60</v>
      </c>
      <c r="F96" s="4">
        <v>4</v>
      </c>
      <c r="G96" s="5">
        <v>0</v>
      </c>
      <c r="H96" s="3" t="str" cm="1">
        <f t="array" ref="H96:J96">_xlfn.XLOOKUP(E96,Catálogo_Productos!$A:$A,Catálogo_Productos!$B:$D,"producto no encontrado")</f>
        <v>Teclado Mecánico RGB</v>
      </c>
      <c r="I96" s="3" t="str">
        <v>Accesorios</v>
      </c>
      <c r="J96" s="6">
        <v>85</v>
      </c>
      <c r="K96" s="6">
        <f t="shared" si="3"/>
        <v>340</v>
      </c>
      <c r="L96" s="6">
        <f t="shared" si="4"/>
        <v>340</v>
      </c>
      <c r="M96" s="19">
        <f t="shared" si="5"/>
        <v>0</v>
      </c>
    </row>
    <row r="97" spans="1:13" x14ac:dyDescent="0.25">
      <c r="A97" s="2" t="s">
        <v>200</v>
      </c>
      <c r="B97" s="2" t="s">
        <v>132</v>
      </c>
      <c r="C97" s="3" t="s">
        <v>27</v>
      </c>
      <c r="D97" s="3" t="s">
        <v>52</v>
      </c>
      <c r="E97" s="2" t="s">
        <v>93</v>
      </c>
      <c r="F97" s="4">
        <v>6</v>
      </c>
      <c r="G97" s="5">
        <v>0.05</v>
      </c>
      <c r="H97" s="3" t="str" cm="1">
        <f t="array" ref="H97:J97">_xlfn.XLOOKUP(E97,Catálogo_Productos!$A:$A,Catálogo_Productos!$B:$D,"producto no encontrado")</f>
        <v>Monitor 4K 27"</v>
      </c>
      <c r="I97" s="3" t="str">
        <v>Tecnología</v>
      </c>
      <c r="J97" s="6">
        <v>350</v>
      </c>
      <c r="K97" s="6">
        <f t="shared" si="3"/>
        <v>2100</v>
      </c>
      <c r="L97" s="6">
        <f t="shared" si="4"/>
        <v>1995</v>
      </c>
      <c r="M97" s="19">
        <f t="shared" si="5"/>
        <v>105</v>
      </c>
    </row>
    <row r="98" spans="1:13" x14ac:dyDescent="0.25">
      <c r="A98" s="2" t="s">
        <v>201</v>
      </c>
      <c r="B98" s="2" t="s">
        <v>202</v>
      </c>
      <c r="C98" s="3" t="s">
        <v>23</v>
      </c>
      <c r="D98" s="3" t="s">
        <v>15</v>
      </c>
      <c r="E98" s="2" t="s">
        <v>35</v>
      </c>
      <c r="F98" s="4">
        <v>5</v>
      </c>
      <c r="G98" s="5">
        <v>0</v>
      </c>
      <c r="H98" s="3" t="str" cm="1">
        <f t="array" ref="H98:J98">_xlfn.XLOOKUP(E98,Catálogo_Productos!$A:$A,Catálogo_Productos!$B:$D,"producto no encontrado")</f>
        <v>Audífonos Noise Cancelling</v>
      </c>
      <c r="I98" s="3" t="str">
        <v>Audio</v>
      </c>
      <c r="J98" s="6">
        <v>190</v>
      </c>
      <c r="K98" s="6">
        <f t="shared" si="3"/>
        <v>950</v>
      </c>
      <c r="L98" s="6">
        <f t="shared" si="4"/>
        <v>950</v>
      </c>
      <c r="M98" s="19">
        <f t="shared" si="5"/>
        <v>0</v>
      </c>
    </row>
    <row r="99" spans="1:13" x14ac:dyDescent="0.25">
      <c r="A99" s="2" t="s">
        <v>203</v>
      </c>
      <c r="B99" s="2" t="s">
        <v>204</v>
      </c>
      <c r="C99" s="3" t="s">
        <v>19</v>
      </c>
      <c r="D99" s="3" t="s">
        <v>52</v>
      </c>
      <c r="E99" s="2" t="s">
        <v>93</v>
      </c>
      <c r="F99" s="4">
        <v>3</v>
      </c>
      <c r="G99" s="5">
        <v>0</v>
      </c>
      <c r="H99" s="3" t="str" cm="1">
        <f t="array" ref="H99:J99">_xlfn.XLOOKUP(E99,Catálogo_Productos!$A:$A,Catálogo_Productos!$B:$D,"producto no encontrado")</f>
        <v>Monitor 4K 27"</v>
      </c>
      <c r="I99" s="3" t="str">
        <v>Tecnología</v>
      </c>
      <c r="J99" s="6">
        <v>350</v>
      </c>
      <c r="K99" s="6">
        <f t="shared" si="3"/>
        <v>1050</v>
      </c>
      <c r="L99" s="6">
        <f t="shared" si="4"/>
        <v>1050</v>
      </c>
      <c r="M99" s="19">
        <f t="shared" si="5"/>
        <v>0</v>
      </c>
    </row>
    <row r="100" spans="1:13" x14ac:dyDescent="0.25">
      <c r="A100" s="2" t="s">
        <v>205</v>
      </c>
      <c r="B100" s="2" t="s">
        <v>134</v>
      </c>
      <c r="C100" s="3" t="s">
        <v>19</v>
      </c>
      <c r="D100" s="3" t="s">
        <v>20</v>
      </c>
      <c r="E100" s="2" t="s">
        <v>93</v>
      </c>
      <c r="F100" s="4">
        <v>5</v>
      </c>
      <c r="G100" s="5">
        <v>0</v>
      </c>
      <c r="H100" s="3" t="str" cm="1">
        <f t="array" ref="H100:J100">_xlfn.XLOOKUP(E100,Catálogo_Productos!$A:$A,Catálogo_Productos!$B:$D,"producto no encontrado")</f>
        <v>Monitor 4K 27"</v>
      </c>
      <c r="I100" s="3" t="str">
        <v>Tecnología</v>
      </c>
      <c r="J100" s="6">
        <v>350</v>
      </c>
      <c r="K100" s="6">
        <f t="shared" si="3"/>
        <v>1750</v>
      </c>
      <c r="L100" s="6">
        <f t="shared" si="4"/>
        <v>1750</v>
      </c>
      <c r="M100" s="19">
        <f t="shared" si="5"/>
        <v>0</v>
      </c>
    </row>
    <row r="101" spans="1:13" x14ac:dyDescent="0.25">
      <c r="A101" s="2" t="s">
        <v>206</v>
      </c>
      <c r="B101" s="2" t="s">
        <v>124</v>
      </c>
      <c r="C101" s="3" t="s">
        <v>19</v>
      </c>
      <c r="D101" s="3" t="s">
        <v>40</v>
      </c>
      <c r="E101" s="2" t="s">
        <v>35</v>
      </c>
      <c r="F101" s="4">
        <v>1</v>
      </c>
      <c r="G101" s="5">
        <v>0.1</v>
      </c>
      <c r="H101" s="3" t="str" cm="1">
        <f t="array" ref="H101:J101">_xlfn.XLOOKUP(E101,Catálogo_Productos!$A:$A,Catálogo_Productos!$B:$D,"producto no encontrado")</f>
        <v>Audífonos Noise Cancelling</v>
      </c>
      <c r="I101" s="3" t="str">
        <v>Audio</v>
      </c>
      <c r="J101" s="6">
        <v>190</v>
      </c>
      <c r="K101" s="6">
        <f t="shared" si="3"/>
        <v>190</v>
      </c>
      <c r="L101" s="6">
        <f t="shared" si="4"/>
        <v>171</v>
      </c>
      <c r="M101" s="19">
        <f t="shared" si="5"/>
        <v>19</v>
      </c>
    </row>
    <row r="102" spans="1:13" x14ac:dyDescent="0.25">
      <c r="A102" s="2" t="s">
        <v>207</v>
      </c>
      <c r="B102" s="2" t="s">
        <v>110</v>
      </c>
      <c r="C102" s="3" t="s">
        <v>43</v>
      </c>
      <c r="D102" s="3" t="s">
        <v>20</v>
      </c>
      <c r="E102" s="2" t="s">
        <v>35</v>
      </c>
      <c r="F102" s="4">
        <v>6</v>
      </c>
      <c r="G102" s="5">
        <v>0.05</v>
      </c>
      <c r="H102" s="3" t="str" cm="1">
        <f t="array" ref="H102:J102">_xlfn.XLOOKUP(E102,Catálogo_Productos!$A:$A,Catálogo_Productos!$B:$D,"producto no encontrado")</f>
        <v>Audífonos Noise Cancelling</v>
      </c>
      <c r="I102" s="3" t="str">
        <v>Audio</v>
      </c>
      <c r="J102" s="6">
        <v>190</v>
      </c>
      <c r="K102" s="6">
        <f t="shared" si="3"/>
        <v>1140</v>
      </c>
      <c r="L102" s="6">
        <f t="shared" si="4"/>
        <v>1083</v>
      </c>
      <c r="M102" s="19">
        <f t="shared" si="5"/>
        <v>57</v>
      </c>
    </row>
    <row r="103" spans="1:13" x14ac:dyDescent="0.25">
      <c r="A103" s="2" t="s">
        <v>208</v>
      </c>
      <c r="B103" s="2" t="s">
        <v>209</v>
      </c>
      <c r="C103" s="3" t="s">
        <v>14</v>
      </c>
      <c r="D103" s="3" t="s">
        <v>20</v>
      </c>
      <c r="E103" s="2" t="s">
        <v>24</v>
      </c>
      <c r="F103" s="4">
        <v>7</v>
      </c>
      <c r="G103" s="5">
        <v>0.05</v>
      </c>
      <c r="H103" s="3" t="str" cm="1">
        <f t="array" ref="H103:J103">_xlfn.XLOOKUP(E103,Catálogo_Productos!$A:$A,Catálogo_Productos!$B:$D,"producto no encontrado")</f>
        <v>Silla Ergonómica</v>
      </c>
      <c r="I103" s="3" t="str">
        <v>Mobiliario</v>
      </c>
      <c r="J103" s="6">
        <v>280</v>
      </c>
      <c r="K103" s="6">
        <f t="shared" si="3"/>
        <v>1960</v>
      </c>
      <c r="L103" s="6">
        <f t="shared" si="4"/>
        <v>1862</v>
      </c>
      <c r="M103" s="19">
        <f t="shared" si="5"/>
        <v>98</v>
      </c>
    </row>
    <row r="104" spans="1:13" x14ac:dyDescent="0.25">
      <c r="A104" s="2" t="s">
        <v>210</v>
      </c>
      <c r="B104" s="2" t="s">
        <v>211</v>
      </c>
      <c r="C104" s="3" t="s">
        <v>14</v>
      </c>
      <c r="D104" s="3" t="s">
        <v>20</v>
      </c>
      <c r="E104" s="2" t="s">
        <v>60</v>
      </c>
      <c r="F104" s="4">
        <v>7</v>
      </c>
      <c r="G104" s="5">
        <v>0</v>
      </c>
      <c r="H104" s="3" t="str" cm="1">
        <f t="array" ref="H104:J104">_xlfn.XLOOKUP(E104,Catálogo_Productos!$A:$A,Catálogo_Productos!$B:$D,"producto no encontrado")</f>
        <v>Teclado Mecánico RGB</v>
      </c>
      <c r="I104" s="3" t="str">
        <v>Accesorios</v>
      </c>
      <c r="J104" s="6">
        <v>85</v>
      </c>
      <c r="K104" s="6">
        <f t="shared" si="3"/>
        <v>595</v>
      </c>
      <c r="L104" s="6">
        <f t="shared" si="4"/>
        <v>595</v>
      </c>
      <c r="M104" s="19">
        <f t="shared" si="5"/>
        <v>0</v>
      </c>
    </row>
    <row r="105" spans="1:13" x14ac:dyDescent="0.25">
      <c r="A105" s="2" t="s">
        <v>212</v>
      </c>
      <c r="B105" s="2" t="s">
        <v>179</v>
      </c>
      <c r="C105" s="3" t="s">
        <v>14</v>
      </c>
      <c r="D105" s="3" t="s">
        <v>52</v>
      </c>
      <c r="E105" s="2" t="s">
        <v>28</v>
      </c>
      <c r="F105" s="4">
        <v>1</v>
      </c>
      <c r="G105" s="5">
        <v>0</v>
      </c>
      <c r="H105" s="3" t="str" cm="1">
        <f t="array" ref="H105:J105">_xlfn.XLOOKUP(E105,Catálogo_Productos!$A:$A,Catálogo_Productos!$B:$D,"producto no encontrado")</f>
        <v>Laptop Pro 15</v>
      </c>
      <c r="I105" s="3" t="str">
        <v>Tecnología</v>
      </c>
      <c r="J105" s="6">
        <v>1200</v>
      </c>
      <c r="K105" s="6">
        <f t="shared" si="3"/>
        <v>1200</v>
      </c>
      <c r="L105" s="6">
        <f t="shared" si="4"/>
        <v>1200</v>
      </c>
      <c r="M105" s="19">
        <f t="shared" si="5"/>
        <v>0</v>
      </c>
    </row>
    <row r="106" spans="1:13" x14ac:dyDescent="0.25">
      <c r="A106" s="2" t="s">
        <v>213</v>
      </c>
      <c r="B106" s="2" t="s">
        <v>214</v>
      </c>
      <c r="C106" s="3" t="s">
        <v>23</v>
      </c>
      <c r="D106" s="3" t="s">
        <v>15</v>
      </c>
      <c r="E106" s="2" t="s">
        <v>28</v>
      </c>
      <c r="F106" s="4">
        <v>4</v>
      </c>
      <c r="G106" s="5">
        <v>0</v>
      </c>
      <c r="H106" s="3" t="str" cm="1">
        <f t="array" ref="H106:J106">_xlfn.XLOOKUP(E106,Catálogo_Productos!$A:$A,Catálogo_Productos!$B:$D,"producto no encontrado")</f>
        <v>Laptop Pro 15</v>
      </c>
      <c r="I106" s="3" t="str">
        <v>Tecnología</v>
      </c>
      <c r="J106" s="6">
        <v>1200</v>
      </c>
      <c r="K106" s="6">
        <f t="shared" si="3"/>
        <v>4800</v>
      </c>
      <c r="L106" s="6">
        <f t="shared" si="4"/>
        <v>4800</v>
      </c>
      <c r="M106" s="19">
        <f t="shared" si="5"/>
        <v>0</v>
      </c>
    </row>
    <row r="107" spans="1:13" x14ac:dyDescent="0.25">
      <c r="A107" s="2" t="s">
        <v>215</v>
      </c>
      <c r="B107" s="2" t="s">
        <v>216</v>
      </c>
      <c r="C107" s="3" t="s">
        <v>27</v>
      </c>
      <c r="D107" s="3" t="s">
        <v>20</v>
      </c>
      <c r="E107" s="2" t="s">
        <v>57</v>
      </c>
      <c r="F107" s="4">
        <v>3</v>
      </c>
      <c r="G107" s="5">
        <v>0</v>
      </c>
      <c r="H107" s="3" t="str" cm="1">
        <f t="array" ref="H107:J107">_xlfn.XLOOKUP(E107,Catálogo_Productos!$A:$A,Catálogo_Productos!$B:$D,"producto no encontrado")</f>
        <v>Escritorio Elevable</v>
      </c>
      <c r="I107" s="3" t="str">
        <v>Mobiliario</v>
      </c>
      <c r="J107" s="6">
        <v>420</v>
      </c>
      <c r="K107" s="6">
        <f t="shared" si="3"/>
        <v>1260</v>
      </c>
      <c r="L107" s="6">
        <f t="shared" si="4"/>
        <v>1260</v>
      </c>
      <c r="M107" s="19">
        <f t="shared" si="5"/>
        <v>0</v>
      </c>
    </row>
    <row r="108" spans="1:13" x14ac:dyDescent="0.25">
      <c r="A108" s="2" t="s">
        <v>217</v>
      </c>
      <c r="B108" s="2" t="s">
        <v>218</v>
      </c>
      <c r="C108" s="3" t="s">
        <v>14</v>
      </c>
      <c r="D108" s="3" t="s">
        <v>40</v>
      </c>
      <c r="E108" s="2" t="s">
        <v>35</v>
      </c>
      <c r="F108" s="4">
        <v>7</v>
      </c>
      <c r="G108" s="5">
        <v>0</v>
      </c>
      <c r="H108" s="3" t="str" cm="1">
        <f t="array" ref="H108:J108">_xlfn.XLOOKUP(E108,Catálogo_Productos!$A:$A,Catálogo_Productos!$B:$D,"producto no encontrado")</f>
        <v>Audífonos Noise Cancelling</v>
      </c>
      <c r="I108" s="3" t="str">
        <v>Audio</v>
      </c>
      <c r="J108" s="6">
        <v>190</v>
      </c>
      <c r="K108" s="6">
        <f t="shared" si="3"/>
        <v>1330</v>
      </c>
      <c r="L108" s="6">
        <f t="shared" si="4"/>
        <v>1330</v>
      </c>
      <c r="M108" s="19">
        <f t="shared" si="5"/>
        <v>0</v>
      </c>
    </row>
    <row r="109" spans="1:13" x14ac:dyDescent="0.25">
      <c r="A109" s="2" t="s">
        <v>219</v>
      </c>
      <c r="B109" s="2" t="s">
        <v>155</v>
      </c>
      <c r="C109" s="3" t="s">
        <v>19</v>
      </c>
      <c r="D109" s="3" t="s">
        <v>40</v>
      </c>
      <c r="E109" s="2" t="s">
        <v>57</v>
      </c>
      <c r="F109" s="4">
        <v>3</v>
      </c>
      <c r="G109" s="5">
        <v>0</v>
      </c>
      <c r="H109" s="3" t="str" cm="1">
        <f t="array" ref="H109:J109">_xlfn.XLOOKUP(E109,Catálogo_Productos!$A:$A,Catálogo_Productos!$B:$D,"producto no encontrado")</f>
        <v>Escritorio Elevable</v>
      </c>
      <c r="I109" s="3" t="str">
        <v>Mobiliario</v>
      </c>
      <c r="J109" s="6">
        <v>420</v>
      </c>
      <c r="K109" s="6">
        <f t="shared" si="3"/>
        <v>1260</v>
      </c>
      <c r="L109" s="6">
        <f t="shared" si="4"/>
        <v>1260</v>
      </c>
      <c r="M109" s="19">
        <f t="shared" si="5"/>
        <v>0</v>
      </c>
    </row>
    <row r="110" spans="1:13" x14ac:dyDescent="0.25">
      <c r="A110" s="2" t="s">
        <v>220</v>
      </c>
      <c r="B110" s="2" t="s">
        <v>173</v>
      </c>
      <c r="C110" s="3" t="s">
        <v>14</v>
      </c>
      <c r="D110" s="3" t="s">
        <v>40</v>
      </c>
      <c r="E110" s="2" t="s">
        <v>35</v>
      </c>
      <c r="F110" s="4">
        <v>4</v>
      </c>
      <c r="G110" s="5">
        <v>0</v>
      </c>
      <c r="H110" s="3" t="str" cm="1">
        <f t="array" ref="H110:J110">_xlfn.XLOOKUP(E110,Catálogo_Productos!$A:$A,Catálogo_Productos!$B:$D,"producto no encontrado")</f>
        <v>Audífonos Noise Cancelling</v>
      </c>
      <c r="I110" s="3" t="str">
        <v>Audio</v>
      </c>
      <c r="J110" s="6">
        <v>190</v>
      </c>
      <c r="K110" s="6">
        <f t="shared" si="3"/>
        <v>760</v>
      </c>
      <c r="L110" s="6">
        <f t="shared" si="4"/>
        <v>760</v>
      </c>
      <c r="M110" s="19">
        <f t="shared" si="5"/>
        <v>0</v>
      </c>
    </row>
    <row r="111" spans="1:13" x14ac:dyDescent="0.25">
      <c r="A111" s="2" t="s">
        <v>221</v>
      </c>
      <c r="B111" s="2" t="s">
        <v>222</v>
      </c>
      <c r="C111" s="3" t="s">
        <v>14</v>
      </c>
      <c r="D111" s="3" t="s">
        <v>40</v>
      </c>
      <c r="E111" s="2" t="s">
        <v>24</v>
      </c>
      <c r="F111" s="4">
        <v>2</v>
      </c>
      <c r="G111" s="5">
        <v>0.15</v>
      </c>
      <c r="H111" s="3" t="str" cm="1">
        <f t="array" ref="H111:J111">_xlfn.XLOOKUP(E111,Catálogo_Productos!$A:$A,Catálogo_Productos!$B:$D,"producto no encontrado")</f>
        <v>Silla Ergonómica</v>
      </c>
      <c r="I111" s="3" t="str">
        <v>Mobiliario</v>
      </c>
      <c r="J111" s="6">
        <v>280</v>
      </c>
      <c r="K111" s="6">
        <f t="shared" si="3"/>
        <v>560</v>
      </c>
      <c r="L111" s="6">
        <f t="shared" si="4"/>
        <v>476</v>
      </c>
      <c r="M111" s="19">
        <f t="shared" si="5"/>
        <v>84</v>
      </c>
    </row>
    <row r="112" spans="1:13" x14ac:dyDescent="0.25">
      <c r="A112" s="2" t="s">
        <v>223</v>
      </c>
      <c r="B112" s="2" t="s">
        <v>224</v>
      </c>
      <c r="C112" s="3" t="s">
        <v>19</v>
      </c>
      <c r="D112" s="3" t="s">
        <v>40</v>
      </c>
      <c r="E112" s="2" t="s">
        <v>60</v>
      </c>
      <c r="F112" s="4">
        <v>3</v>
      </c>
      <c r="G112" s="5">
        <v>0.05</v>
      </c>
      <c r="H112" s="3" t="str" cm="1">
        <f t="array" ref="H112:J112">_xlfn.XLOOKUP(E112,Catálogo_Productos!$A:$A,Catálogo_Productos!$B:$D,"producto no encontrado")</f>
        <v>Teclado Mecánico RGB</v>
      </c>
      <c r="I112" s="3" t="str">
        <v>Accesorios</v>
      </c>
      <c r="J112" s="6">
        <v>85</v>
      </c>
      <c r="K112" s="6">
        <f t="shared" si="3"/>
        <v>255</v>
      </c>
      <c r="L112" s="6">
        <f t="shared" si="4"/>
        <v>242.25</v>
      </c>
      <c r="M112" s="19">
        <f t="shared" si="5"/>
        <v>12.75</v>
      </c>
    </row>
    <row r="113" spans="1:13" x14ac:dyDescent="0.25">
      <c r="A113" s="2" t="s">
        <v>225</v>
      </c>
      <c r="B113" s="2" t="s">
        <v>226</v>
      </c>
      <c r="C113" s="3" t="s">
        <v>23</v>
      </c>
      <c r="D113" s="3" t="s">
        <v>52</v>
      </c>
      <c r="E113" s="2" t="s">
        <v>35</v>
      </c>
      <c r="F113" s="4">
        <v>6</v>
      </c>
      <c r="G113" s="5">
        <v>0.05</v>
      </c>
      <c r="H113" s="3" t="str" cm="1">
        <f t="array" ref="H113:J113">_xlfn.XLOOKUP(E113,Catálogo_Productos!$A:$A,Catálogo_Productos!$B:$D,"producto no encontrado")</f>
        <v>Audífonos Noise Cancelling</v>
      </c>
      <c r="I113" s="3" t="str">
        <v>Audio</v>
      </c>
      <c r="J113" s="6">
        <v>190</v>
      </c>
      <c r="K113" s="6">
        <f t="shared" si="3"/>
        <v>1140</v>
      </c>
      <c r="L113" s="6">
        <f t="shared" si="4"/>
        <v>1083</v>
      </c>
      <c r="M113" s="19">
        <f t="shared" si="5"/>
        <v>57</v>
      </c>
    </row>
    <row r="114" spans="1:13" x14ac:dyDescent="0.25">
      <c r="A114" s="2" t="s">
        <v>227</v>
      </c>
      <c r="B114" s="2" t="s">
        <v>228</v>
      </c>
      <c r="C114" s="3" t="s">
        <v>14</v>
      </c>
      <c r="D114" s="3" t="s">
        <v>20</v>
      </c>
      <c r="E114" s="2" t="s">
        <v>24</v>
      </c>
      <c r="F114" s="4">
        <v>3</v>
      </c>
      <c r="G114" s="5">
        <v>0.1</v>
      </c>
      <c r="H114" s="3" t="str" cm="1">
        <f t="array" ref="H114:J114">_xlfn.XLOOKUP(E114,Catálogo_Productos!$A:$A,Catálogo_Productos!$B:$D,"producto no encontrado")</f>
        <v>Silla Ergonómica</v>
      </c>
      <c r="I114" s="3" t="str">
        <v>Mobiliario</v>
      </c>
      <c r="J114" s="6">
        <v>280</v>
      </c>
      <c r="K114" s="6">
        <f t="shared" si="3"/>
        <v>840</v>
      </c>
      <c r="L114" s="6">
        <f t="shared" si="4"/>
        <v>756</v>
      </c>
      <c r="M114" s="19">
        <f t="shared" si="5"/>
        <v>84</v>
      </c>
    </row>
    <row r="115" spans="1:13" x14ac:dyDescent="0.25">
      <c r="A115" s="2" t="s">
        <v>229</v>
      </c>
      <c r="B115" s="2" t="s">
        <v>230</v>
      </c>
      <c r="C115" s="3" t="s">
        <v>14</v>
      </c>
      <c r="D115" s="3" t="s">
        <v>40</v>
      </c>
      <c r="E115" s="2" t="s">
        <v>24</v>
      </c>
      <c r="F115" s="4">
        <v>1</v>
      </c>
      <c r="G115" s="5">
        <v>0</v>
      </c>
      <c r="H115" s="3" t="str" cm="1">
        <f t="array" ref="H115:J115">_xlfn.XLOOKUP(E115,Catálogo_Productos!$A:$A,Catálogo_Productos!$B:$D,"producto no encontrado")</f>
        <v>Silla Ergonómica</v>
      </c>
      <c r="I115" s="3" t="str">
        <v>Mobiliario</v>
      </c>
      <c r="J115" s="6">
        <v>280</v>
      </c>
      <c r="K115" s="6">
        <f t="shared" si="3"/>
        <v>280</v>
      </c>
      <c r="L115" s="6">
        <f t="shared" si="4"/>
        <v>280</v>
      </c>
      <c r="M115" s="19">
        <f t="shared" si="5"/>
        <v>0</v>
      </c>
    </row>
    <row r="116" spans="1:13" x14ac:dyDescent="0.25">
      <c r="A116" s="2" t="s">
        <v>231</v>
      </c>
      <c r="B116" s="2" t="s">
        <v>232</v>
      </c>
      <c r="C116" s="3" t="s">
        <v>27</v>
      </c>
      <c r="D116" s="3" t="s">
        <v>20</v>
      </c>
      <c r="E116" s="2" t="s">
        <v>93</v>
      </c>
      <c r="F116" s="4">
        <v>4</v>
      </c>
      <c r="G116" s="5">
        <v>0</v>
      </c>
      <c r="H116" s="3" t="str" cm="1">
        <f t="array" ref="H116:J116">_xlfn.XLOOKUP(E116,Catálogo_Productos!$A:$A,Catálogo_Productos!$B:$D,"producto no encontrado")</f>
        <v>Monitor 4K 27"</v>
      </c>
      <c r="I116" s="3" t="str">
        <v>Tecnología</v>
      </c>
      <c r="J116" s="6">
        <v>350</v>
      </c>
      <c r="K116" s="6">
        <f t="shared" si="3"/>
        <v>1400</v>
      </c>
      <c r="L116" s="6">
        <f t="shared" si="4"/>
        <v>1400</v>
      </c>
      <c r="M116" s="19">
        <f t="shared" si="5"/>
        <v>0</v>
      </c>
    </row>
    <row r="117" spans="1:13" x14ac:dyDescent="0.25">
      <c r="A117" s="2" t="s">
        <v>233</v>
      </c>
      <c r="B117" s="2" t="s">
        <v>101</v>
      </c>
      <c r="C117" s="3" t="s">
        <v>31</v>
      </c>
      <c r="D117" s="3" t="s">
        <v>40</v>
      </c>
      <c r="E117" s="2" t="s">
        <v>60</v>
      </c>
      <c r="F117" s="4">
        <v>7</v>
      </c>
      <c r="G117" s="5">
        <v>0.05</v>
      </c>
      <c r="H117" s="3" t="str" cm="1">
        <f t="array" ref="H117:J117">_xlfn.XLOOKUP(E117,Catálogo_Productos!$A:$A,Catálogo_Productos!$B:$D,"producto no encontrado")</f>
        <v>Teclado Mecánico RGB</v>
      </c>
      <c r="I117" s="3" t="str">
        <v>Accesorios</v>
      </c>
      <c r="J117" s="6">
        <v>85</v>
      </c>
      <c r="K117" s="6">
        <f t="shared" si="3"/>
        <v>595</v>
      </c>
      <c r="L117" s="6">
        <f t="shared" si="4"/>
        <v>565.25</v>
      </c>
      <c r="M117" s="19">
        <f t="shared" si="5"/>
        <v>29.75</v>
      </c>
    </row>
    <row r="118" spans="1:13" x14ac:dyDescent="0.25">
      <c r="A118" s="2" t="s">
        <v>234</v>
      </c>
      <c r="B118" s="2" t="s">
        <v>175</v>
      </c>
      <c r="C118" s="3" t="s">
        <v>43</v>
      </c>
      <c r="D118" s="3" t="s">
        <v>20</v>
      </c>
      <c r="E118" s="2" t="s">
        <v>16</v>
      </c>
      <c r="F118" s="4">
        <v>3</v>
      </c>
      <c r="G118" s="5">
        <v>0.05</v>
      </c>
      <c r="H118" s="3" t="str" cm="1">
        <f t="array" ref="H118:J118">_xlfn.XLOOKUP(E118,Catálogo_Productos!$A:$A,Catálogo_Productos!$B:$D,"producto no encontrado")</f>
        <v>Micrófono USB Studio</v>
      </c>
      <c r="I118" s="3" t="str">
        <v>Audio</v>
      </c>
      <c r="J118" s="6">
        <v>130</v>
      </c>
      <c r="K118" s="6">
        <f t="shared" si="3"/>
        <v>390</v>
      </c>
      <c r="L118" s="6">
        <f t="shared" si="4"/>
        <v>370.5</v>
      </c>
      <c r="M118" s="19">
        <f t="shared" si="5"/>
        <v>19.5</v>
      </c>
    </row>
    <row r="119" spans="1:13" x14ac:dyDescent="0.25">
      <c r="A119" s="2" t="s">
        <v>235</v>
      </c>
      <c r="B119" s="2" t="s">
        <v>236</v>
      </c>
      <c r="C119" s="3" t="s">
        <v>14</v>
      </c>
      <c r="D119" s="3" t="s">
        <v>15</v>
      </c>
      <c r="E119" s="2" t="s">
        <v>57</v>
      </c>
      <c r="F119" s="4">
        <v>5</v>
      </c>
      <c r="G119" s="5">
        <v>0.05</v>
      </c>
      <c r="H119" s="3" t="str" cm="1">
        <f t="array" ref="H119:J119">_xlfn.XLOOKUP(E119,Catálogo_Productos!$A:$A,Catálogo_Productos!$B:$D,"producto no encontrado")</f>
        <v>Escritorio Elevable</v>
      </c>
      <c r="I119" s="3" t="str">
        <v>Mobiliario</v>
      </c>
      <c r="J119" s="6">
        <v>420</v>
      </c>
      <c r="K119" s="6">
        <f t="shared" si="3"/>
        <v>2100</v>
      </c>
      <c r="L119" s="6">
        <f t="shared" si="4"/>
        <v>1995</v>
      </c>
      <c r="M119" s="19">
        <f t="shared" si="5"/>
        <v>105</v>
      </c>
    </row>
    <row r="120" spans="1:13" x14ac:dyDescent="0.25">
      <c r="A120" s="2" t="s">
        <v>237</v>
      </c>
      <c r="B120" s="2" t="s">
        <v>238</v>
      </c>
      <c r="C120" s="3" t="s">
        <v>27</v>
      </c>
      <c r="D120" s="3" t="s">
        <v>52</v>
      </c>
      <c r="E120" s="2" t="s">
        <v>24</v>
      </c>
      <c r="F120" s="4">
        <v>3</v>
      </c>
      <c r="G120" s="5">
        <v>0</v>
      </c>
      <c r="H120" s="3" t="str" cm="1">
        <f t="array" ref="H120:J120">_xlfn.XLOOKUP(E120,Catálogo_Productos!$A:$A,Catálogo_Productos!$B:$D,"producto no encontrado")</f>
        <v>Silla Ergonómica</v>
      </c>
      <c r="I120" s="3" t="str">
        <v>Mobiliario</v>
      </c>
      <c r="J120" s="6">
        <v>280</v>
      </c>
      <c r="K120" s="6">
        <f t="shared" si="3"/>
        <v>840</v>
      </c>
      <c r="L120" s="6">
        <f t="shared" si="4"/>
        <v>840</v>
      </c>
      <c r="M120" s="19">
        <f t="shared" si="5"/>
        <v>0</v>
      </c>
    </row>
    <row r="121" spans="1:13" x14ac:dyDescent="0.25">
      <c r="A121" s="2" t="s">
        <v>239</v>
      </c>
      <c r="B121" s="2" t="s">
        <v>145</v>
      </c>
      <c r="C121" s="3" t="s">
        <v>43</v>
      </c>
      <c r="D121" s="3" t="s">
        <v>40</v>
      </c>
      <c r="E121" s="2" t="s">
        <v>24</v>
      </c>
      <c r="F121" s="4">
        <v>1</v>
      </c>
      <c r="G121" s="5">
        <v>0</v>
      </c>
      <c r="H121" s="3" t="str" cm="1">
        <f t="array" ref="H121:J121">_xlfn.XLOOKUP(E121,Catálogo_Productos!$A:$A,Catálogo_Productos!$B:$D,"producto no encontrado")</f>
        <v>Silla Ergonómica</v>
      </c>
      <c r="I121" s="3" t="str">
        <v>Mobiliario</v>
      </c>
      <c r="J121" s="6">
        <v>280</v>
      </c>
      <c r="K121" s="6">
        <f t="shared" si="3"/>
        <v>280</v>
      </c>
      <c r="L121" s="6">
        <f t="shared" si="4"/>
        <v>280</v>
      </c>
      <c r="M121" s="19">
        <f t="shared" si="5"/>
        <v>0</v>
      </c>
    </row>
    <row r="122" spans="1:13" x14ac:dyDescent="0.25">
      <c r="A122" s="2" t="s">
        <v>240</v>
      </c>
      <c r="B122" s="2" t="s">
        <v>241</v>
      </c>
      <c r="C122" s="3" t="s">
        <v>43</v>
      </c>
      <c r="D122" s="3" t="s">
        <v>52</v>
      </c>
      <c r="E122" s="2" t="s">
        <v>24</v>
      </c>
      <c r="F122" s="4">
        <v>2</v>
      </c>
      <c r="G122" s="5">
        <v>0.05</v>
      </c>
      <c r="H122" s="3" t="str" cm="1">
        <f t="array" ref="H122:J122">_xlfn.XLOOKUP(E122,Catálogo_Productos!$A:$A,Catálogo_Productos!$B:$D,"producto no encontrado")</f>
        <v>Silla Ergonómica</v>
      </c>
      <c r="I122" s="3" t="str">
        <v>Mobiliario</v>
      </c>
      <c r="J122" s="6">
        <v>280</v>
      </c>
      <c r="K122" s="6">
        <f t="shared" si="3"/>
        <v>560</v>
      </c>
      <c r="L122" s="6">
        <f t="shared" si="4"/>
        <v>532</v>
      </c>
      <c r="M122" s="19">
        <f t="shared" si="5"/>
        <v>28</v>
      </c>
    </row>
    <row r="123" spans="1:13" x14ac:dyDescent="0.25">
      <c r="A123" s="2" t="s">
        <v>242</v>
      </c>
      <c r="B123" s="2" t="s">
        <v>243</v>
      </c>
      <c r="C123" s="3" t="s">
        <v>31</v>
      </c>
      <c r="D123" s="3" t="s">
        <v>40</v>
      </c>
      <c r="E123" s="2" t="s">
        <v>32</v>
      </c>
      <c r="F123" s="4">
        <v>4</v>
      </c>
      <c r="G123" s="5">
        <v>0</v>
      </c>
      <c r="H123" s="3" t="str" cm="1">
        <f t="array" ref="H123:J123">_xlfn.XLOOKUP(E123,Catálogo_Productos!$A:$A,Catálogo_Productos!$B:$D,"producto no encontrado")</f>
        <v>Mouse Inalámbrico Pro</v>
      </c>
      <c r="I123" s="3" t="str">
        <v>Accesorios</v>
      </c>
      <c r="J123" s="6">
        <v>45</v>
      </c>
      <c r="K123" s="6">
        <f t="shared" si="3"/>
        <v>180</v>
      </c>
      <c r="L123" s="6">
        <f t="shared" si="4"/>
        <v>180</v>
      </c>
      <c r="M123" s="19">
        <f t="shared" si="5"/>
        <v>0</v>
      </c>
    </row>
    <row r="124" spans="1:13" x14ac:dyDescent="0.25">
      <c r="A124" s="2" t="s">
        <v>244</v>
      </c>
      <c r="B124" s="2" t="s">
        <v>245</v>
      </c>
      <c r="C124" s="3" t="s">
        <v>31</v>
      </c>
      <c r="D124" s="3" t="s">
        <v>40</v>
      </c>
      <c r="E124" s="2" t="s">
        <v>93</v>
      </c>
      <c r="F124" s="4">
        <v>4</v>
      </c>
      <c r="G124" s="5">
        <v>0.05</v>
      </c>
      <c r="H124" s="3" t="str" cm="1">
        <f t="array" ref="H124:J124">_xlfn.XLOOKUP(E124,Catálogo_Productos!$A:$A,Catálogo_Productos!$B:$D,"producto no encontrado")</f>
        <v>Monitor 4K 27"</v>
      </c>
      <c r="I124" s="3" t="str">
        <v>Tecnología</v>
      </c>
      <c r="J124" s="6">
        <v>350</v>
      </c>
      <c r="K124" s="6">
        <f t="shared" si="3"/>
        <v>1400</v>
      </c>
      <c r="L124" s="6">
        <f t="shared" si="4"/>
        <v>1330</v>
      </c>
      <c r="M124" s="19">
        <f t="shared" si="5"/>
        <v>70</v>
      </c>
    </row>
    <row r="125" spans="1:13" x14ac:dyDescent="0.25">
      <c r="A125" s="2" t="s">
        <v>246</v>
      </c>
      <c r="B125" s="2" t="s">
        <v>247</v>
      </c>
      <c r="C125" s="3" t="s">
        <v>31</v>
      </c>
      <c r="D125" s="3" t="s">
        <v>20</v>
      </c>
      <c r="E125" s="2" t="s">
        <v>24</v>
      </c>
      <c r="F125" s="4">
        <v>2</v>
      </c>
      <c r="G125" s="5">
        <v>0</v>
      </c>
      <c r="H125" s="3" t="str" cm="1">
        <f t="array" ref="H125:J125">_xlfn.XLOOKUP(E125,Catálogo_Productos!$A:$A,Catálogo_Productos!$B:$D,"producto no encontrado")</f>
        <v>Silla Ergonómica</v>
      </c>
      <c r="I125" s="3" t="str">
        <v>Mobiliario</v>
      </c>
      <c r="J125" s="6">
        <v>280</v>
      </c>
      <c r="K125" s="6">
        <f t="shared" si="3"/>
        <v>560</v>
      </c>
      <c r="L125" s="6">
        <f t="shared" si="4"/>
        <v>560</v>
      </c>
      <c r="M125" s="19">
        <f t="shared" si="5"/>
        <v>0</v>
      </c>
    </row>
    <row r="126" spans="1:13" x14ac:dyDescent="0.25">
      <c r="A126" s="2" t="s">
        <v>248</v>
      </c>
      <c r="B126" s="2" t="s">
        <v>249</v>
      </c>
      <c r="C126" s="3" t="s">
        <v>14</v>
      </c>
      <c r="D126" s="3" t="s">
        <v>40</v>
      </c>
      <c r="E126" s="2" t="s">
        <v>24</v>
      </c>
      <c r="F126" s="4">
        <v>5</v>
      </c>
      <c r="G126" s="5">
        <v>0</v>
      </c>
      <c r="H126" s="3" t="str" cm="1">
        <f t="array" ref="H126:J126">_xlfn.XLOOKUP(E126,Catálogo_Productos!$A:$A,Catálogo_Productos!$B:$D,"producto no encontrado")</f>
        <v>Silla Ergonómica</v>
      </c>
      <c r="I126" s="3" t="str">
        <v>Mobiliario</v>
      </c>
      <c r="J126" s="6">
        <v>280</v>
      </c>
      <c r="K126" s="6">
        <f t="shared" si="3"/>
        <v>1400</v>
      </c>
      <c r="L126" s="6">
        <f t="shared" si="4"/>
        <v>1400</v>
      </c>
      <c r="M126" s="19">
        <f t="shared" si="5"/>
        <v>0</v>
      </c>
    </row>
    <row r="127" spans="1:13" x14ac:dyDescent="0.25">
      <c r="A127" s="2" t="s">
        <v>250</v>
      </c>
      <c r="B127" s="2" t="s">
        <v>181</v>
      </c>
      <c r="C127" s="3" t="s">
        <v>14</v>
      </c>
      <c r="D127" s="3" t="s">
        <v>40</v>
      </c>
      <c r="E127" s="2" t="s">
        <v>32</v>
      </c>
      <c r="F127" s="4">
        <v>2</v>
      </c>
      <c r="G127" s="5">
        <v>0.15</v>
      </c>
      <c r="H127" s="3" t="str" cm="1">
        <f t="array" ref="H127:J127">_xlfn.XLOOKUP(E127,Catálogo_Productos!$A:$A,Catálogo_Productos!$B:$D,"producto no encontrado")</f>
        <v>Mouse Inalámbrico Pro</v>
      </c>
      <c r="I127" s="3" t="str">
        <v>Accesorios</v>
      </c>
      <c r="J127" s="6">
        <v>45</v>
      </c>
      <c r="K127" s="6">
        <f t="shared" si="3"/>
        <v>90</v>
      </c>
      <c r="L127" s="6">
        <f t="shared" si="4"/>
        <v>76.5</v>
      </c>
      <c r="M127" s="19">
        <f t="shared" si="5"/>
        <v>13.5</v>
      </c>
    </row>
    <row r="128" spans="1:13" x14ac:dyDescent="0.25">
      <c r="A128" s="2" t="s">
        <v>251</v>
      </c>
      <c r="B128" s="2" t="s">
        <v>18</v>
      </c>
      <c r="C128" s="3" t="s">
        <v>23</v>
      </c>
      <c r="D128" s="3" t="s">
        <v>15</v>
      </c>
      <c r="E128" s="2" t="s">
        <v>35</v>
      </c>
      <c r="F128" s="4">
        <v>6</v>
      </c>
      <c r="G128" s="5">
        <v>0</v>
      </c>
      <c r="H128" s="3" t="str" cm="1">
        <f t="array" ref="H128:J128">_xlfn.XLOOKUP(E128,Catálogo_Productos!$A:$A,Catálogo_Productos!$B:$D,"producto no encontrado")</f>
        <v>Audífonos Noise Cancelling</v>
      </c>
      <c r="I128" s="3" t="str">
        <v>Audio</v>
      </c>
      <c r="J128" s="6">
        <v>190</v>
      </c>
      <c r="K128" s="6">
        <f t="shared" si="3"/>
        <v>1140</v>
      </c>
      <c r="L128" s="6">
        <f t="shared" si="4"/>
        <v>1140</v>
      </c>
      <c r="M128" s="19">
        <f t="shared" si="5"/>
        <v>0</v>
      </c>
    </row>
    <row r="129" spans="1:13" x14ac:dyDescent="0.25">
      <c r="A129" s="2" t="s">
        <v>252</v>
      </c>
      <c r="B129" s="2" t="s">
        <v>253</v>
      </c>
      <c r="C129" s="3" t="s">
        <v>27</v>
      </c>
      <c r="D129" s="3" t="s">
        <v>52</v>
      </c>
      <c r="E129" s="2" t="s">
        <v>16</v>
      </c>
      <c r="F129" s="4">
        <v>6</v>
      </c>
      <c r="G129" s="5">
        <v>0.15</v>
      </c>
      <c r="H129" s="3" t="str" cm="1">
        <f t="array" ref="H129:J129">_xlfn.XLOOKUP(E129,Catálogo_Productos!$A:$A,Catálogo_Productos!$B:$D,"producto no encontrado")</f>
        <v>Micrófono USB Studio</v>
      </c>
      <c r="I129" s="3" t="str">
        <v>Audio</v>
      </c>
      <c r="J129" s="6">
        <v>130</v>
      </c>
      <c r="K129" s="6">
        <f t="shared" si="3"/>
        <v>780</v>
      </c>
      <c r="L129" s="6">
        <f t="shared" si="4"/>
        <v>663</v>
      </c>
      <c r="M129" s="19">
        <f t="shared" si="5"/>
        <v>117</v>
      </c>
    </row>
    <row r="130" spans="1:13" x14ac:dyDescent="0.25">
      <c r="A130" s="2" t="s">
        <v>254</v>
      </c>
      <c r="B130" s="2" t="s">
        <v>76</v>
      </c>
      <c r="C130" s="3" t="s">
        <v>14</v>
      </c>
      <c r="D130" s="3" t="s">
        <v>52</v>
      </c>
      <c r="E130" s="2" t="s">
        <v>16</v>
      </c>
      <c r="F130" s="4">
        <v>5</v>
      </c>
      <c r="G130" s="5">
        <v>0.05</v>
      </c>
      <c r="H130" s="3" t="str" cm="1">
        <f t="array" ref="H130:J130">_xlfn.XLOOKUP(E130,Catálogo_Productos!$A:$A,Catálogo_Productos!$B:$D,"producto no encontrado")</f>
        <v>Micrófono USB Studio</v>
      </c>
      <c r="I130" s="3" t="str">
        <v>Audio</v>
      </c>
      <c r="J130" s="6">
        <v>130</v>
      </c>
      <c r="K130" s="6">
        <f t="shared" ref="K130:K193" si="6">F130*J130</f>
        <v>650</v>
      </c>
      <c r="L130" s="6">
        <f t="shared" ref="L130:L193" si="7">K130*(1-G130)</f>
        <v>617.5</v>
      </c>
      <c r="M130" s="19">
        <f t="shared" si="5"/>
        <v>32.5</v>
      </c>
    </row>
    <row r="131" spans="1:13" x14ac:dyDescent="0.25">
      <c r="A131" s="2" t="s">
        <v>255</v>
      </c>
      <c r="B131" s="2" t="s">
        <v>256</v>
      </c>
      <c r="C131" s="3" t="s">
        <v>31</v>
      </c>
      <c r="D131" s="3" t="s">
        <v>40</v>
      </c>
      <c r="E131" s="2" t="s">
        <v>32</v>
      </c>
      <c r="F131" s="4">
        <v>7</v>
      </c>
      <c r="G131" s="5">
        <v>0</v>
      </c>
      <c r="H131" s="3" t="str" cm="1">
        <f t="array" ref="H131:J131">_xlfn.XLOOKUP(E131,Catálogo_Productos!$A:$A,Catálogo_Productos!$B:$D,"producto no encontrado")</f>
        <v>Mouse Inalámbrico Pro</v>
      </c>
      <c r="I131" s="3" t="str">
        <v>Accesorios</v>
      </c>
      <c r="J131" s="6">
        <v>45</v>
      </c>
      <c r="K131" s="6">
        <f t="shared" si="6"/>
        <v>315</v>
      </c>
      <c r="L131" s="6">
        <f t="shared" si="7"/>
        <v>315</v>
      </c>
      <c r="M131" s="19">
        <f t="shared" ref="M131:M194" si="8">K131-L131</f>
        <v>0</v>
      </c>
    </row>
    <row r="132" spans="1:13" x14ac:dyDescent="0.25">
      <c r="A132" s="2" t="s">
        <v>257</v>
      </c>
      <c r="B132" s="2" t="s">
        <v>258</v>
      </c>
      <c r="C132" s="3" t="s">
        <v>23</v>
      </c>
      <c r="D132" s="3" t="s">
        <v>15</v>
      </c>
      <c r="E132" s="2" t="s">
        <v>28</v>
      </c>
      <c r="F132" s="4">
        <v>3</v>
      </c>
      <c r="G132" s="5">
        <v>0.05</v>
      </c>
      <c r="H132" s="3" t="str" cm="1">
        <f t="array" ref="H132:J132">_xlfn.XLOOKUP(E132,Catálogo_Productos!$A:$A,Catálogo_Productos!$B:$D,"producto no encontrado")</f>
        <v>Laptop Pro 15</v>
      </c>
      <c r="I132" s="3" t="str">
        <v>Tecnología</v>
      </c>
      <c r="J132" s="6">
        <v>1200</v>
      </c>
      <c r="K132" s="6">
        <f t="shared" si="6"/>
        <v>3600</v>
      </c>
      <c r="L132" s="6">
        <f t="shared" si="7"/>
        <v>3420</v>
      </c>
      <c r="M132" s="19">
        <f t="shared" si="8"/>
        <v>180</v>
      </c>
    </row>
    <row r="133" spans="1:13" x14ac:dyDescent="0.25">
      <c r="A133" s="2" t="s">
        <v>259</v>
      </c>
      <c r="B133" s="2" t="s">
        <v>161</v>
      </c>
      <c r="C133" s="3" t="s">
        <v>14</v>
      </c>
      <c r="D133" s="3" t="s">
        <v>40</v>
      </c>
      <c r="E133" s="2" t="s">
        <v>93</v>
      </c>
      <c r="F133" s="4">
        <v>7</v>
      </c>
      <c r="G133" s="5">
        <v>0</v>
      </c>
      <c r="H133" s="3" t="str" cm="1">
        <f t="array" ref="H133:J133">_xlfn.XLOOKUP(E133,Catálogo_Productos!$A:$A,Catálogo_Productos!$B:$D,"producto no encontrado")</f>
        <v>Monitor 4K 27"</v>
      </c>
      <c r="I133" s="3" t="str">
        <v>Tecnología</v>
      </c>
      <c r="J133" s="6">
        <v>350</v>
      </c>
      <c r="K133" s="6">
        <f t="shared" si="6"/>
        <v>2450</v>
      </c>
      <c r="L133" s="6">
        <f t="shared" si="7"/>
        <v>2450</v>
      </c>
      <c r="M133" s="19">
        <f t="shared" si="8"/>
        <v>0</v>
      </c>
    </row>
    <row r="134" spans="1:13" x14ac:dyDescent="0.25">
      <c r="A134" s="2" t="s">
        <v>260</v>
      </c>
      <c r="B134" s="2" t="s">
        <v>261</v>
      </c>
      <c r="C134" s="3" t="s">
        <v>14</v>
      </c>
      <c r="D134" s="3" t="s">
        <v>52</v>
      </c>
      <c r="E134" s="2" t="s">
        <v>57</v>
      </c>
      <c r="F134" s="4">
        <v>2</v>
      </c>
      <c r="G134" s="5">
        <v>0</v>
      </c>
      <c r="H134" s="3" t="str" cm="1">
        <f t="array" ref="H134:J134">_xlfn.XLOOKUP(E134,Catálogo_Productos!$A:$A,Catálogo_Productos!$B:$D,"producto no encontrado")</f>
        <v>Escritorio Elevable</v>
      </c>
      <c r="I134" s="3" t="str">
        <v>Mobiliario</v>
      </c>
      <c r="J134" s="6">
        <v>420</v>
      </c>
      <c r="K134" s="6">
        <f t="shared" si="6"/>
        <v>840</v>
      </c>
      <c r="L134" s="6">
        <f t="shared" si="7"/>
        <v>840</v>
      </c>
      <c r="M134" s="19">
        <f t="shared" si="8"/>
        <v>0</v>
      </c>
    </row>
    <row r="135" spans="1:13" x14ac:dyDescent="0.25">
      <c r="A135" s="2" t="s">
        <v>262</v>
      </c>
      <c r="B135" s="2" t="s">
        <v>263</v>
      </c>
      <c r="C135" s="3" t="s">
        <v>19</v>
      </c>
      <c r="D135" s="3" t="s">
        <v>40</v>
      </c>
      <c r="E135" s="2" t="s">
        <v>60</v>
      </c>
      <c r="F135" s="4">
        <v>2</v>
      </c>
      <c r="G135" s="5">
        <v>0.05</v>
      </c>
      <c r="H135" s="3" t="str" cm="1">
        <f t="array" ref="H135:J135">_xlfn.XLOOKUP(E135,Catálogo_Productos!$A:$A,Catálogo_Productos!$B:$D,"producto no encontrado")</f>
        <v>Teclado Mecánico RGB</v>
      </c>
      <c r="I135" s="3" t="str">
        <v>Accesorios</v>
      </c>
      <c r="J135" s="6">
        <v>85</v>
      </c>
      <c r="K135" s="6">
        <f t="shared" si="6"/>
        <v>170</v>
      </c>
      <c r="L135" s="6">
        <f t="shared" si="7"/>
        <v>161.5</v>
      </c>
      <c r="M135" s="19">
        <f t="shared" si="8"/>
        <v>8.5</v>
      </c>
    </row>
    <row r="136" spans="1:13" x14ac:dyDescent="0.25">
      <c r="A136" s="2" t="s">
        <v>264</v>
      </c>
      <c r="B136" s="2" t="s">
        <v>265</v>
      </c>
      <c r="C136" s="3" t="s">
        <v>14</v>
      </c>
      <c r="D136" s="3" t="s">
        <v>52</v>
      </c>
      <c r="E136" s="2" t="s">
        <v>93</v>
      </c>
      <c r="F136" s="4">
        <v>5</v>
      </c>
      <c r="G136" s="5">
        <v>0</v>
      </c>
      <c r="H136" s="3" t="str" cm="1">
        <f t="array" ref="H136:J136">_xlfn.XLOOKUP(E136,Catálogo_Productos!$A:$A,Catálogo_Productos!$B:$D,"producto no encontrado")</f>
        <v>Monitor 4K 27"</v>
      </c>
      <c r="I136" s="3" t="str">
        <v>Tecnología</v>
      </c>
      <c r="J136" s="6">
        <v>350</v>
      </c>
      <c r="K136" s="6">
        <f t="shared" si="6"/>
        <v>1750</v>
      </c>
      <c r="L136" s="6">
        <f t="shared" si="7"/>
        <v>1750</v>
      </c>
      <c r="M136" s="19">
        <f t="shared" si="8"/>
        <v>0</v>
      </c>
    </row>
    <row r="137" spans="1:13" x14ac:dyDescent="0.25">
      <c r="A137" s="2" t="s">
        <v>266</v>
      </c>
      <c r="B137" s="2" t="s">
        <v>267</v>
      </c>
      <c r="C137" s="3" t="s">
        <v>14</v>
      </c>
      <c r="D137" s="3" t="s">
        <v>52</v>
      </c>
      <c r="E137" s="2" t="s">
        <v>35</v>
      </c>
      <c r="F137" s="4">
        <v>2</v>
      </c>
      <c r="G137" s="5">
        <v>0</v>
      </c>
      <c r="H137" s="3" t="str" cm="1">
        <f t="array" ref="H137:J137">_xlfn.XLOOKUP(E137,Catálogo_Productos!$A:$A,Catálogo_Productos!$B:$D,"producto no encontrado")</f>
        <v>Audífonos Noise Cancelling</v>
      </c>
      <c r="I137" s="3" t="str">
        <v>Audio</v>
      </c>
      <c r="J137" s="6">
        <v>190</v>
      </c>
      <c r="K137" s="6">
        <f t="shared" si="6"/>
        <v>380</v>
      </c>
      <c r="L137" s="6">
        <f t="shared" si="7"/>
        <v>380</v>
      </c>
      <c r="M137" s="19">
        <f t="shared" si="8"/>
        <v>0</v>
      </c>
    </row>
    <row r="138" spans="1:13" x14ac:dyDescent="0.25">
      <c r="A138" s="2" t="s">
        <v>268</v>
      </c>
      <c r="B138" s="2" t="s">
        <v>269</v>
      </c>
      <c r="C138" s="3" t="s">
        <v>23</v>
      </c>
      <c r="D138" s="3" t="s">
        <v>52</v>
      </c>
      <c r="E138" s="2" t="s">
        <v>24</v>
      </c>
      <c r="F138" s="4">
        <v>3</v>
      </c>
      <c r="G138" s="5">
        <v>0.1</v>
      </c>
      <c r="H138" s="3" t="str" cm="1">
        <f t="array" ref="H138:J138">_xlfn.XLOOKUP(E138,Catálogo_Productos!$A:$A,Catálogo_Productos!$B:$D,"producto no encontrado")</f>
        <v>Silla Ergonómica</v>
      </c>
      <c r="I138" s="3" t="str">
        <v>Mobiliario</v>
      </c>
      <c r="J138" s="6">
        <v>280</v>
      </c>
      <c r="K138" s="6">
        <f t="shared" si="6"/>
        <v>840</v>
      </c>
      <c r="L138" s="6">
        <f t="shared" si="7"/>
        <v>756</v>
      </c>
      <c r="M138" s="19">
        <f t="shared" si="8"/>
        <v>84</v>
      </c>
    </row>
    <row r="139" spans="1:13" x14ac:dyDescent="0.25">
      <c r="A139" s="2" t="s">
        <v>270</v>
      </c>
      <c r="B139" s="2" t="s">
        <v>271</v>
      </c>
      <c r="C139" s="3" t="s">
        <v>31</v>
      </c>
      <c r="D139" s="3" t="s">
        <v>20</v>
      </c>
      <c r="E139" s="2" t="s">
        <v>57</v>
      </c>
      <c r="F139" s="4">
        <v>7</v>
      </c>
      <c r="G139" s="5">
        <v>0</v>
      </c>
      <c r="H139" s="3" t="str" cm="1">
        <f t="array" ref="H139:J139">_xlfn.XLOOKUP(E139,Catálogo_Productos!$A:$A,Catálogo_Productos!$B:$D,"producto no encontrado")</f>
        <v>Escritorio Elevable</v>
      </c>
      <c r="I139" s="3" t="str">
        <v>Mobiliario</v>
      </c>
      <c r="J139" s="6">
        <v>420</v>
      </c>
      <c r="K139" s="6">
        <f t="shared" si="6"/>
        <v>2940</v>
      </c>
      <c r="L139" s="6">
        <f t="shared" si="7"/>
        <v>2940</v>
      </c>
      <c r="M139" s="19">
        <f t="shared" si="8"/>
        <v>0</v>
      </c>
    </row>
    <row r="140" spans="1:13" x14ac:dyDescent="0.25">
      <c r="A140" s="2" t="s">
        <v>272</v>
      </c>
      <c r="B140" s="2" t="s">
        <v>186</v>
      </c>
      <c r="C140" s="3" t="s">
        <v>19</v>
      </c>
      <c r="D140" s="3" t="s">
        <v>40</v>
      </c>
      <c r="E140" s="2" t="s">
        <v>16</v>
      </c>
      <c r="F140" s="4">
        <v>3</v>
      </c>
      <c r="G140" s="5">
        <v>0.05</v>
      </c>
      <c r="H140" s="3" t="str" cm="1">
        <f t="array" ref="H140:J140">_xlfn.XLOOKUP(E140,Catálogo_Productos!$A:$A,Catálogo_Productos!$B:$D,"producto no encontrado")</f>
        <v>Micrófono USB Studio</v>
      </c>
      <c r="I140" s="3" t="str">
        <v>Audio</v>
      </c>
      <c r="J140" s="6">
        <v>130</v>
      </c>
      <c r="K140" s="6">
        <f t="shared" si="6"/>
        <v>390</v>
      </c>
      <c r="L140" s="6">
        <f t="shared" si="7"/>
        <v>370.5</v>
      </c>
      <c r="M140" s="19">
        <f t="shared" si="8"/>
        <v>19.5</v>
      </c>
    </row>
    <row r="141" spans="1:13" x14ac:dyDescent="0.25">
      <c r="A141" s="2" t="s">
        <v>273</v>
      </c>
      <c r="B141" s="2" t="s">
        <v>192</v>
      </c>
      <c r="C141" s="3" t="s">
        <v>27</v>
      </c>
      <c r="D141" s="3" t="s">
        <v>15</v>
      </c>
      <c r="E141" s="2" t="s">
        <v>93</v>
      </c>
      <c r="F141" s="4">
        <v>6</v>
      </c>
      <c r="G141" s="5">
        <v>0</v>
      </c>
      <c r="H141" s="3" t="str" cm="1">
        <f t="array" ref="H141:J141">_xlfn.XLOOKUP(E141,Catálogo_Productos!$A:$A,Catálogo_Productos!$B:$D,"producto no encontrado")</f>
        <v>Monitor 4K 27"</v>
      </c>
      <c r="I141" s="3" t="str">
        <v>Tecnología</v>
      </c>
      <c r="J141" s="6">
        <v>350</v>
      </c>
      <c r="K141" s="6">
        <f t="shared" si="6"/>
        <v>2100</v>
      </c>
      <c r="L141" s="6">
        <f t="shared" si="7"/>
        <v>2100</v>
      </c>
      <c r="M141" s="19">
        <f t="shared" si="8"/>
        <v>0</v>
      </c>
    </row>
    <row r="142" spans="1:13" x14ac:dyDescent="0.25">
      <c r="A142" s="2" t="s">
        <v>274</v>
      </c>
      <c r="B142" s="2" t="s">
        <v>275</v>
      </c>
      <c r="C142" s="3" t="s">
        <v>23</v>
      </c>
      <c r="D142" s="3" t="s">
        <v>15</v>
      </c>
      <c r="E142" s="2" t="s">
        <v>57</v>
      </c>
      <c r="F142" s="4">
        <v>1</v>
      </c>
      <c r="G142" s="5">
        <v>0</v>
      </c>
      <c r="H142" s="3" t="str" cm="1">
        <f t="array" ref="H142:J142">_xlfn.XLOOKUP(E142,Catálogo_Productos!$A:$A,Catálogo_Productos!$B:$D,"producto no encontrado")</f>
        <v>Escritorio Elevable</v>
      </c>
      <c r="I142" s="3" t="str">
        <v>Mobiliario</v>
      </c>
      <c r="J142" s="6">
        <v>420</v>
      </c>
      <c r="K142" s="6">
        <f t="shared" si="6"/>
        <v>420</v>
      </c>
      <c r="L142" s="6">
        <f t="shared" si="7"/>
        <v>420</v>
      </c>
      <c r="M142" s="19">
        <f t="shared" si="8"/>
        <v>0</v>
      </c>
    </row>
    <row r="143" spans="1:13" x14ac:dyDescent="0.25">
      <c r="A143" s="2" t="s">
        <v>276</v>
      </c>
      <c r="B143" s="2" t="s">
        <v>277</v>
      </c>
      <c r="C143" s="3" t="s">
        <v>14</v>
      </c>
      <c r="D143" s="3" t="s">
        <v>52</v>
      </c>
      <c r="E143" s="2" t="s">
        <v>35</v>
      </c>
      <c r="F143" s="4">
        <v>5</v>
      </c>
      <c r="G143" s="5">
        <v>0</v>
      </c>
      <c r="H143" s="3" t="str" cm="1">
        <f t="array" ref="H143:J143">_xlfn.XLOOKUP(E143,Catálogo_Productos!$A:$A,Catálogo_Productos!$B:$D,"producto no encontrado")</f>
        <v>Audífonos Noise Cancelling</v>
      </c>
      <c r="I143" s="3" t="str">
        <v>Audio</v>
      </c>
      <c r="J143" s="6">
        <v>190</v>
      </c>
      <c r="K143" s="6">
        <f t="shared" si="6"/>
        <v>950</v>
      </c>
      <c r="L143" s="6">
        <f t="shared" si="7"/>
        <v>950</v>
      </c>
      <c r="M143" s="19">
        <f t="shared" si="8"/>
        <v>0</v>
      </c>
    </row>
    <row r="144" spans="1:13" x14ac:dyDescent="0.25">
      <c r="A144" s="2" t="s">
        <v>278</v>
      </c>
      <c r="B144" s="2" t="s">
        <v>279</v>
      </c>
      <c r="C144" s="3" t="s">
        <v>19</v>
      </c>
      <c r="D144" s="3" t="s">
        <v>15</v>
      </c>
      <c r="E144" s="2" t="s">
        <v>32</v>
      </c>
      <c r="F144" s="4">
        <v>5</v>
      </c>
      <c r="G144" s="5">
        <v>0</v>
      </c>
      <c r="H144" s="3" t="str" cm="1">
        <f t="array" ref="H144:J144">_xlfn.XLOOKUP(E144,Catálogo_Productos!$A:$A,Catálogo_Productos!$B:$D,"producto no encontrado")</f>
        <v>Mouse Inalámbrico Pro</v>
      </c>
      <c r="I144" s="3" t="str">
        <v>Accesorios</v>
      </c>
      <c r="J144" s="6">
        <v>45</v>
      </c>
      <c r="K144" s="6">
        <f t="shared" si="6"/>
        <v>225</v>
      </c>
      <c r="L144" s="6">
        <f t="shared" si="7"/>
        <v>225</v>
      </c>
      <c r="M144" s="19">
        <f t="shared" si="8"/>
        <v>0</v>
      </c>
    </row>
    <row r="145" spans="1:13" x14ac:dyDescent="0.25">
      <c r="A145" s="2" t="s">
        <v>280</v>
      </c>
      <c r="B145" s="2" t="s">
        <v>281</v>
      </c>
      <c r="C145" s="3" t="s">
        <v>27</v>
      </c>
      <c r="D145" s="3" t="s">
        <v>40</v>
      </c>
      <c r="E145" s="2" t="s">
        <v>16</v>
      </c>
      <c r="F145" s="4">
        <v>4</v>
      </c>
      <c r="G145" s="5">
        <v>0</v>
      </c>
      <c r="H145" s="3" t="str" cm="1">
        <f t="array" ref="H145:J145">_xlfn.XLOOKUP(E145,Catálogo_Productos!$A:$A,Catálogo_Productos!$B:$D,"producto no encontrado")</f>
        <v>Micrófono USB Studio</v>
      </c>
      <c r="I145" s="3" t="str">
        <v>Audio</v>
      </c>
      <c r="J145" s="6">
        <v>130</v>
      </c>
      <c r="K145" s="6">
        <f t="shared" si="6"/>
        <v>520</v>
      </c>
      <c r="L145" s="6">
        <f t="shared" si="7"/>
        <v>520</v>
      </c>
      <c r="M145" s="19">
        <f t="shared" si="8"/>
        <v>0</v>
      </c>
    </row>
    <row r="146" spans="1:13" x14ac:dyDescent="0.25">
      <c r="A146" s="2" t="s">
        <v>282</v>
      </c>
      <c r="B146" s="2" t="s">
        <v>277</v>
      </c>
      <c r="C146" s="3" t="s">
        <v>27</v>
      </c>
      <c r="D146" s="3" t="s">
        <v>15</v>
      </c>
      <c r="E146" s="2" t="s">
        <v>24</v>
      </c>
      <c r="F146" s="4">
        <v>4</v>
      </c>
      <c r="G146" s="5">
        <v>0.1</v>
      </c>
      <c r="H146" s="3" t="str" cm="1">
        <f t="array" ref="H146:J146">_xlfn.XLOOKUP(E146,Catálogo_Productos!$A:$A,Catálogo_Productos!$B:$D,"producto no encontrado")</f>
        <v>Silla Ergonómica</v>
      </c>
      <c r="I146" s="3" t="str">
        <v>Mobiliario</v>
      </c>
      <c r="J146" s="6">
        <v>280</v>
      </c>
      <c r="K146" s="6">
        <f t="shared" si="6"/>
        <v>1120</v>
      </c>
      <c r="L146" s="6">
        <f t="shared" si="7"/>
        <v>1008</v>
      </c>
      <c r="M146" s="19">
        <f t="shared" si="8"/>
        <v>112</v>
      </c>
    </row>
    <row r="147" spans="1:13" x14ac:dyDescent="0.25">
      <c r="A147" s="2" t="s">
        <v>283</v>
      </c>
      <c r="B147" s="2" t="s">
        <v>202</v>
      </c>
      <c r="C147" s="3" t="s">
        <v>43</v>
      </c>
      <c r="D147" s="3" t="s">
        <v>15</v>
      </c>
      <c r="E147" s="2" t="s">
        <v>35</v>
      </c>
      <c r="F147" s="4">
        <v>6</v>
      </c>
      <c r="G147" s="5">
        <v>0.05</v>
      </c>
      <c r="H147" s="3" t="str" cm="1">
        <f t="array" ref="H147:J147">_xlfn.XLOOKUP(E147,Catálogo_Productos!$A:$A,Catálogo_Productos!$B:$D,"producto no encontrado")</f>
        <v>Audífonos Noise Cancelling</v>
      </c>
      <c r="I147" s="3" t="str">
        <v>Audio</v>
      </c>
      <c r="J147" s="6">
        <v>190</v>
      </c>
      <c r="K147" s="6">
        <f t="shared" si="6"/>
        <v>1140</v>
      </c>
      <c r="L147" s="6">
        <f t="shared" si="7"/>
        <v>1083</v>
      </c>
      <c r="M147" s="19">
        <f t="shared" si="8"/>
        <v>57</v>
      </c>
    </row>
    <row r="148" spans="1:13" x14ac:dyDescent="0.25">
      <c r="A148" s="2" t="s">
        <v>284</v>
      </c>
      <c r="B148" s="2" t="s">
        <v>285</v>
      </c>
      <c r="C148" s="3" t="s">
        <v>27</v>
      </c>
      <c r="D148" s="3" t="s">
        <v>15</v>
      </c>
      <c r="E148" s="2" t="s">
        <v>28</v>
      </c>
      <c r="F148" s="4">
        <v>7</v>
      </c>
      <c r="G148" s="5">
        <v>0.05</v>
      </c>
      <c r="H148" s="3" t="str" cm="1">
        <f t="array" ref="H148:J148">_xlfn.XLOOKUP(E148,Catálogo_Productos!$A:$A,Catálogo_Productos!$B:$D,"producto no encontrado")</f>
        <v>Laptop Pro 15</v>
      </c>
      <c r="I148" s="3" t="str">
        <v>Tecnología</v>
      </c>
      <c r="J148" s="6">
        <v>1200</v>
      </c>
      <c r="K148" s="6">
        <f t="shared" si="6"/>
        <v>8400</v>
      </c>
      <c r="L148" s="6">
        <f t="shared" si="7"/>
        <v>7980</v>
      </c>
      <c r="M148" s="19">
        <f t="shared" si="8"/>
        <v>420</v>
      </c>
    </row>
    <row r="149" spans="1:13" x14ac:dyDescent="0.25">
      <c r="A149" s="2" t="s">
        <v>286</v>
      </c>
      <c r="B149" s="2" t="s">
        <v>287</v>
      </c>
      <c r="C149" s="3" t="s">
        <v>31</v>
      </c>
      <c r="D149" s="3" t="s">
        <v>52</v>
      </c>
      <c r="E149" s="2" t="s">
        <v>28</v>
      </c>
      <c r="F149" s="4">
        <v>6</v>
      </c>
      <c r="G149" s="5">
        <v>0.05</v>
      </c>
      <c r="H149" s="3" t="str" cm="1">
        <f t="array" ref="H149:J149">_xlfn.XLOOKUP(E149,Catálogo_Productos!$A:$A,Catálogo_Productos!$B:$D,"producto no encontrado")</f>
        <v>Laptop Pro 15</v>
      </c>
      <c r="I149" s="3" t="str">
        <v>Tecnología</v>
      </c>
      <c r="J149" s="6">
        <v>1200</v>
      </c>
      <c r="K149" s="6">
        <f t="shared" si="6"/>
        <v>7200</v>
      </c>
      <c r="L149" s="6">
        <f t="shared" si="7"/>
        <v>6840</v>
      </c>
      <c r="M149" s="19">
        <f t="shared" si="8"/>
        <v>360</v>
      </c>
    </row>
    <row r="150" spans="1:13" x14ac:dyDescent="0.25">
      <c r="A150" s="2" t="s">
        <v>288</v>
      </c>
      <c r="B150" s="2" t="s">
        <v>289</v>
      </c>
      <c r="C150" s="3" t="s">
        <v>23</v>
      </c>
      <c r="D150" s="3" t="s">
        <v>15</v>
      </c>
      <c r="E150" s="2" t="s">
        <v>24</v>
      </c>
      <c r="F150" s="4">
        <v>2</v>
      </c>
      <c r="G150" s="5">
        <v>0</v>
      </c>
      <c r="H150" s="3" t="str" cm="1">
        <f t="array" ref="H150:J150">_xlfn.XLOOKUP(E150,Catálogo_Productos!$A:$A,Catálogo_Productos!$B:$D,"producto no encontrado")</f>
        <v>Silla Ergonómica</v>
      </c>
      <c r="I150" s="3" t="str">
        <v>Mobiliario</v>
      </c>
      <c r="J150" s="6">
        <v>280</v>
      </c>
      <c r="K150" s="6">
        <f t="shared" si="6"/>
        <v>560</v>
      </c>
      <c r="L150" s="6">
        <f t="shared" si="7"/>
        <v>560</v>
      </c>
      <c r="M150" s="19">
        <f t="shared" si="8"/>
        <v>0</v>
      </c>
    </row>
    <row r="151" spans="1:13" x14ac:dyDescent="0.25">
      <c r="A151" s="2" t="s">
        <v>290</v>
      </c>
      <c r="B151" s="2" t="s">
        <v>291</v>
      </c>
      <c r="C151" s="3" t="s">
        <v>27</v>
      </c>
      <c r="D151" s="3" t="s">
        <v>15</v>
      </c>
      <c r="E151" s="2" t="s">
        <v>60</v>
      </c>
      <c r="F151" s="4">
        <v>5</v>
      </c>
      <c r="G151" s="5">
        <v>0.05</v>
      </c>
      <c r="H151" s="3" t="str" cm="1">
        <f t="array" ref="H151:J151">_xlfn.XLOOKUP(E151,Catálogo_Productos!$A:$A,Catálogo_Productos!$B:$D,"producto no encontrado")</f>
        <v>Teclado Mecánico RGB</v>
      </c>
      <c r="I151" s="3" t="str">
        <v>Accesorios</v>
      </c>
      <c r="J151" s="6">
        <v>85</v>
      </c>
      <c r="K151" s="6">
        <f t="shared" si="6"/>
        <v>425</v>
      </c>
      <c r="L151" s="6">
        <f t="shared" si="7"/>
        <v>403.75</v>
      </c>
      <c r="M151" s="19">
        <f t="shared" si="8"/>
        <v>21.25</v>
      </c>
    </row>
    <row r="152" spans="1:13" x14ac:dyDescent="0.25">
      <c r="A152" s="2" t="s">
        <v>292</v>
      </c>
      <c r="B152" s="2" t="s">
        <v>169</v>
      </c>
      <c r="C152" s="3" t="s">
        <v>23</v>
      </c>
      <c r="D152" s="3" t="s">
        <v>40</v>
      </c>
      <c r="E152" s="2" t="s">
        <v>32</v>
      </c>
      <c r="F152" s="4">
        <v>1</v>
      </c>
      <c r="G152" s="5">
        <v>0</v>
      </c>
      <c r="H152" s="3" t="str" cm="1">
        <f t="array" ref="H152:J152">_xlfn.XLOOKUP(E152,Catálogo_Productos!$A:$A,Catálogo_Productos!$B:$D,"producto no encontrado")</f>
        <v>Mouse Inalámbrico Pro</v>
      </c>
      <c r="I152" s="3" t="str">
        <v>Accesorios</v>
      </c>
      <c r="J152" s="6">
        <v>45</v>
      </c>
      <c r="K152" s="6">
        <f t="shared" si="6"/>
        <v>45</v>
      </c>
      <c r="L152" s="6">
        <f t="shared" si="7"/>
        <v>45</v>
      </c>
      <c r="M152" s="19">
        <f t="shared" si="8"/>
        <v>0</v>
      </c>
    </row>
    <row r="153" spans="1:13" x14ac:dyDescent="0.25">
      <c r="A153" s="2" t="s">
        <v>293</v>
      </c>
      <c r="B153" s="2" t="s">
        <v>294</v>
      </c>
      <c r="C153" s="3" t="s">
        <v>31</v>
      </c>
      <c r="D153" s="3" t="s">
        <v>52</v>
      </c>
      <c r="E153" s="2" t="s">
        <v>28</v>
      </c>
      <c r="F153" s="4">
        <v>2</v>
      </c>
      <c r="G153" s="5">
        <v>0.1</v>
      </c>
      <c r="H153" s="3" t="str" cm="1">
        <f t="array" ref="H153:J153">_xlfn.XLOOKUP(E153,Catálogo_Productos!$A:$A,Catálogo_Productos!$B:$D,"producto no encontrado")</f>
        <v>Laptop Pro 15</v>
      </c>
      <c r="I153" s="3" t="str">
        <v>Tecnología</v>
      </c>
      <c r="J153" s="6">
        <v>1200</v>
      </c>
      <c r="K153" s="6">
        <f t="shared" si="6"/>
        <v>2400</v>
      </c>
      <c r="L153" s="6">
        <f t="shared" si="7"/>
        <v>2160</v>
      </c>
      <c r="M153" s="19">
        <f t="shared" si="8"/>
        <v>240</v>
      </c>
    </row>
    <row r="154" spans="1:13" x14ac:dyDescent="0.25">
      <c r="A154" s="2" t="s">
        <v>295</v>
      </c>
      <c r="B154" s="2" t="s">
        <v>296</v>
      </c>
      <c r="C154" s="3" t="s">
        <v>19</v>
      </c>
      <c r="D154" s="3" t="s">
        <v>20</v>
      </c>
      <c r="E154" s="2" t="s">
        <v>93</v>
      </c>
      <c r="F154" s="4">
        <v>1</v>
      </c>
      <c r="G154" s="5">
        <v>0.1</v>
      </c>
      <c r="H154" s="3" t="str" cm="1">
        <f t="array" ref="H154:J154">_xlfn.XLOOKUP(E154,Catálogo_Productos!$A:$A,Catálogo_Productos!$B:$D,"producto no encontrado")</f>
        <v>Monitor 4K 27"</v>
      </c>
      <c r="I154" s="3" t="str">
        <v>Tecnología</v>
      </c>
      <c r="J154" s="6">
        <v>350</v>
      </c>
      <c r="K154" s="6">
        <f t="shared" si="6"/>
        <v>350</v>
      </c>
      <c r="L154" s="6">
        <f t="shared" si="7"/>
        <v>315</v>
      </c>
      <c r="M154" s="19">
        <f t="shared" si="8"/>
        <v>35</v>
      </c>
    </row>
    <row r="155" spans="1:13" x14ac:dyDescent="0.25">
      <c r="A155" s="2" t="s">
        <v>297</v>
      </c>
      <c r="B155" s="2" t="s">
        <v>247</v>
      </c>
      <c r="C155" s="3" t="s">
        <v>31</v>
      </c>
      <c r="D155" s="3" t="s">
        <v>40</v>
      </c>
      <c r="E155" s="2" t="s">
        <v>35</v>
      </c>
      <c r="F155" s="4">
        <v>4</v>
      </c>
      <c r="G155" s="5">
        <v>0.1</v>
      </c>
      <c r="H155" s="3" t="str" cm="1">
        <f t="array" ref="H155:J155">_xlfn.XLOOKUP(E155,Catálogo_Productos!$A:$A,Catálogo_Productos!$B:$D,"producto no encontrado")</f>
        <v>Audífonos Noise Cancelling</v>
      </c>
      <c r="I155" s="3" t="str">
        <v>Audio</v>
      </c>
      <c r="J155" s="6">
        <v>190</v>
      </c>
      <c r="K155" s="6">
        <f t="shared" si="6"/>
        <v>760</v>
      </c>
      <c r="L155" s="6">
        <f t="shared" si="7"/>
        <v>684</v>
      </c>
      <c r="M155" s="19">
        <f t="shared" si="8"/>
        <v>76</v>
      </c>
    </row>
    <row r="156" spans="1:13" x14ac:dyDescent="0.25">
      <c r="A156" s="2" t="s">
        <v>298</v>
      </c>
      <c r="B156" s="2" t="s">
        <v>299</v>
      </c>
      <c r="C156" s="3" t="s">
        <v>27</v>
      </c>
      <c r="D156" s="3" t="s">
        <v>52</v>
      </c>
      <c r="E156" s="2" t="s">
        <v>24</v>
      </c>
      <c r="F156" s="4">
        <v>1</v>
      </c>
      <c r="G156" s="5">
        <v>0.05</v>
      </c>
      <c r="H156" s="3" t="str" cm="1">
        <f t="array" ref="H156:J156">_xlfn.XLOOKUP(E156,Catálogo_Productos!$A:$A,Catálogo_Productos!$B:$D,"producto no encontrado")</f>
        <v>Silla Ergonómica</v>
      </c>
      <c r="I156" s="3" t="str">
        <v>Mobiliario</v>
      </c>
      <c r="J156" s="6">
        <v>280</v>
      </c>
      <c r="K156" s="6">
        <f t="shared" si="6"/>
        <v>280</v>
      </c>
      <c r="L156" s="6">
        <f t="shared" si="7"/>
        <v>266</v>
      </c>
      <c r="M156" s="19">
        <f t="shared" si="8"/>
        <v>14</v>
      </c>
    </row>
    <row r="157" spans="1:13" x14ac:dyDescent="0.25">
      <c r="A157" s="2" t="s">
        <v>300</v>
      </c>
      <c r="B157" s="2" t="s">
        <v>301</v>
      </c>
      <c r="C157" s="3" t="s">
        <v>23</v>
      </c>
      <c r="D157" s="3" t="s">
        <v>52</v>
      </c>
      <c r="E157" s="2" t="s">
        <v>28</v>
      </c>
      <c r="F157" s="4">
        <v>5</v>
      </c>
      <c r="G157" s="5">
        <v>0.15</v>
      </c>
      <c r="H157" s="3" t="str" cm="1">
        <f t="array" ref="H157:J157">_xlfn.XLOOKUP(E157,Catálogo_Productos!$A:$A,Catálogo_Productos!$B:$D,"producto no encontrado")</f>
        <v>Laptop Pro 15</v>
      </c>
      <c r="I157" s="3" t="str">
        <v>Tecnología</v>
      </c>
      <c r="J157" s="6">
        <v>1200</v>
      </c>
      <c r="K157" s="6">
        <f t="shared" si="6"/>
        <v>6000</v>
      </c>
      <c r="L157" s="6">
        <f t="shared" si="7"/>
        <v>5100</v>
      </c>
      <c r="M157" s="19">
        <f t="shared" si="8"/>
        <v>900</v>
      </c>
    </row>
    <row r="158" spans="1:13" x14ac:dyDescent="0.25">
      <c r="A158" s="2" t="s">
        <v>302</v>
      </c>
      <c r="B158" s="2" t="s">
        <v>303</v>
      </c>
      <c r="C158" s="3" t="s">
        <v>43</v>
      </c>
      <c r="D158" s="3" t="s">
        <v>52</v>
      </c>
      <c r="E158" s="2" t="s">
        <v>32</v>
      </c>
      <c r="F158" s="4">
        <v>5</v>
      </c>
      <c r="G158" s="5">
        <v>0.15</v>
      </c>
      <c r="H158" s="3" t="str" cm="1">
        <f t="array" ref="H158:J158">_xlfn.XLOOKUP(E158,Catálogo_Productos!$A:$A,Catálogo_Productos!$B:$D,"producto no encontrado")</f>
        <v>Mouse Inalámbrico Pro</v>
      </c>
      <c r="I158" s="3" t="str">
        <v>Accesorios</v>
      </c>
      <c r="J158" s="6">
        <v>45</v>
      </c>
      <c r="K158" s="6">
        <f t="shared" si="6"/>
        <v>225</v>
      </c>
      <c r="L158" s="6">
        <f t="shared" si="7"/>
        <v>191.25</v>
      </c>
      <c r="M158" s="19">
        <f t="shared" si="8"/>
        <v>33.75</v>
      </c>
    </row>
    <row r="159" spans="1:13" x14ac:dyDescent="0.25">
      <c r="A159" s="2" t="s">
        <v>304</v>
      </c>
      <c r="B159" s="2" t="s">
        <v>64</v>
      </c>
      <c r="C159" s="3" t="s">
        <v>19</v>
      </c>
      <c r="D159" s="3" t="s">
        <v>52</v>
      </c>
      <c r="E159" s="2" t="s">
        <v>60</v>
      </c>
      <c r="F159" s="4">
        <v>2</v>
      </c>
      <c r="G159" s="5">
        <v>0</v>
      </c>
      <c r="H159" s="3" t="str" cm="1">
        <f t="array" ref="H159:J159">_xlfn.XLOOKUP(E159,Catálogo_Productos!$A:$A,Catálogo_Productos!$B:$D,"producto no encontrado")</f>
        <v>Teclado Mecánico RGB</v>
      </c>
      <c r="I159" s="3" t="str">
        <v>Accesorios</v>
      </c>
      <c r="J159" s="6">
        <v>85</v>
      </c>
      <c r="K159" s="6">
        <f t="shared" si="6"/>
        <v>170</v>
      </c>
      <c r="L159" s="6">
        <f t="shared" si="7"/>
        <v>170</v>
      </c>
      <c r="M159" s="19">
        <f t="shared" si="8"/>
        <v>0</v>
      </c>
    </row>
    <row r="160" spans="1:13" x14ac:dyDescent="0.25">
      <c r="A160" s="2" t="s">
        <v>305</v>
      </c>
      <c r="B160" s="2" t="s">
        <v>306</v>
      </c>
      <c r="C160" s="3" t="s">
        <v>31</v>
      </c>
      <c r="D160" s="3" t="s">
        <v>20</v>
      </c>
      <c r="E160" s="2" t="s">
        <v>57</v>
      </c>
      <c r="F160" s="4">
        <v>7</v>
      </c>
      <c r="G160" s="5">
        <v>0</v>
      </c>
      <c r="H160" s="3" t="str" cm="1">
        <f t="array" ref="H160:J160">_xlfn.XLOOKUP(E160,Catálogo_Productos!$A:$A,Catálogo_Productos!$B:$D,"producto no encontrado")</f>
        <v>Escritorio Elevable</v>
      </c>
      <c r="I160" s="3" t="str">
        <v>Mobiliario</v>
      </c>
      <c r="J160" s="6">
        <v>420</v>
      </c>
      <c r="K160" s="6">
        <f t="shared" si="6"/>
        <v>2940</v>
      </c>
      <c r="L160" s="6">
        <f t="shared" si="7"/>
        <v>2940</v>
      </c>
      <c r="M160" s="19">
        <f t="shared" si="8"/>
        <v>0</v>
      </c>
    </row>
    <row r="161" spans="1:13" x14ac:dyDescent="0.25">
      <c r="A161" s="2" t="s">
        <v>307</v>
      </c>
      <c r="B161" s="2" t="s">
        <v>173</v>
      </c>
      <c r="C161" s="3" t="s">
        <v>31</v>
      </c>
      <c r="D161" s="3" t="s">
        <v>52</v>
      </c>
      <c r="E161" s="2" t="s">
        <v>24</v>
      </c>
      <c r="F161" s="4">
        <v>3</v>
      </c>
      <c r="G161" s="5">
        <v>0</v>
      </c>
      <c r="H161" s="3" t="str" cm="1">
        <f t="array" ref="H161:J161">_xlfn.XLOOKUP(E161,Catálogo_Productos!$A:$A,Catálogo_Productos!$B:$D,"producto no encontrado")</f>
        <v>Silla Ergonómica</v>
      </c>
      <c r="I161" s="3" t="str">
        <v>Mobiliario</v>
      </c>
      <c r="J161" s="6">
        <v>280</v>
      </c>
      <c r="K161" s="6">
        <f t="shared" si="6"/>
        <v>840</v>
      </c>
      <c r="L161" s="6">
        <f t="shared" si="7"/>
        <v>840</v>
      </c>
      <c r="M161" s="19">
        <f t="shared" si="8"/>
        <v>0</v>
      </c>
    </row>
    <row r="162" spans="1:13" x14ac:dyDescent="0.25">
      <c r="A162" s="2" t="s">
        <v>308</v>
      </c>
      <c r="B162" s="2" t="s">
        <v>139</v>
      </c>
      <c r="C162" s="3" t="s">
        <v>27</v>
      </c>
      <c r="D162" s="3" t="s">
        <v>15</v>
      </c>
      <c r="E162" s="2" t="s">
        <v>35</v>
      </c>
      <c r="F162" s="4">
        <v>3</v>
      </c>
      <c r="G162" s="5">
        <v>0</v>
      </c>
      <c r="H162" s="3" t="str" cm="1">
        <f t="array" ref="H162:J162">_xlfn.XLOOKUP(E162,Catálogo_Productos!$A:$A,Catálogo_Productos!$B:$D,"producto no encontrado")</f>
        <v>Audífonos Noise Cancelling</v>
      </c>
      <c r="I162" s="3" t="str">
        <v>Audio</v>
      </c>
      <c r="J162" s="6">
        <v>190</v>
      </c>
      <c r="K162" s="6">
        <f t="shared" si="6"/>
        <v>570</v>
      </c>
      <c r="L162" s="6">
        <f t="shared" si="7"/>
        <v>570</v>
      </c>
      <c r="M162" s="19">
        <f t="shared" si="8"/>
        <v>0</v>
      </c>
    </row>
    <row r="163" spans="1:13" x14ac:dyDescent="0.25">
      <c r="A163" s="2" t="s">
        <v>309</v>
      </c>
      <c r="B163" s="2" t="s">
        <v>310</v>
      </c>
      <c r="C163" s="3" t="s">
        <v>31</v>
      </c>
      <c r="D163" s="3" t="s">
        <v>52</v>
      </c>
      <c r="E163" s="2" t="s">
        <v>16</v>
      </c>
      <c r="F163" s="4">
        <v>7</v>
      </c>
      <c r="G163" s="5">
        <v>0.15</v>
      </c>
      <c r="H163" s="3" t="str" cm="1">
        <f t="array" ref="H163:J163">_xlfn.XLOOKUP(E163,Catálogo_Productos!$A:$A,Catálogo_Productos!$B:$D,"producto no encontrado")</f>
        <v>Micrófono USB Studio</v>
      </c>
      <c r="I163" s="3" t="str">
        <v>Audio</v>
      </c>
      <c r="J163" s="6">
        <v>130</v>
      </c>
      <c r="K163" s="6">
        <f t="shared" si="6"/>
        <v>910</v>
      </c>
      <c r="L163" s="6">
        <f t="shared" si="7"/>
        <v>773.5</v>
      </c>
      <c r="M163" s="19">
        <f t="shared" si="8"/>
        <v>136.5</v>
      </c>
    </row>
    <row r="164" spans="1:13" x14ac:dyDescent="0.25">
      <c r="A164" s="2" t="s">
        <v>311</v>
      </c>
      <c r="B164" s="2" t="s">
        <v>51</v>
      </c>
      <c r="C164" s="3" t="s">
        <v>31</v>
      </c>
      <c r="D164" s="3" t="s">
        <v>52</v>
      </c>
      <c r="E164" s="2" t="s">
        <v>35</v>
      </c>
      <c r="F164" s="4">
        <v>3</v>
      </c>
      <c r="G164" s="5">
        <v>0</v>
      </c>
      <c r="H164" s="3" t="str" cm="1">
        <f t="array" ref="H164:J164">_xlfn.XLOOKUP(E164,Catálogo_Productos!$A:$A,Catálogo_Productos!$B:$D,"producto no encontrado")</f>
        <v>Audífonos Noise Cancelling</v>
      </c>
      <c r="I164" s="3" t="str">
        <v>Audio</v>
      </c>
      <c r="J164" s="6">
        <v>190</v>
      </c>
      <c r="K164" s="6">
        <f t="shared" si="6"/>
        <v>570</v>
      </c>
      <c r="L164" s="6">
        <f t="shared" si="7"/>
        <v>570</v>
      </c>
      <c r="M164" s="19">
        <f t="shared" si="8"/>
        <v>0</v>
      </c>
    </row>
    <row r="165" spans="1:13" x14ac:dyDescent="0.25">
      <c r="A165" s="2" t="s">
        <v>312</v>
      </c>
      <c r="B165" s="2" t="s">
        <v>171</v>
      </c>
      <c r="C165" s="3" t="s">
        <v>27</v>
      </c>
      <c r="D165" s="3" t="s">
        <v>15</v>
      </c>
      <c r="E165" s="2" t="s">
        <v>24</v>
      </c>
      <c r="F165" s="4">
        <v>1</v>
      </c>
      <c r="G165" s="5">
        <v>0.05</v>
      </c>
      <c r="H165" s="3" t="str" cm="1">
        <f t="array" ref="H165:J165">_xlfn.XLOOKUP(E165,Catálogo_Productos!$A:$A,Catálogo_Productos!$B:$D,"producto no encontrado")</f>
        <v>Silla Ergonómica</v>
      </c>
      <c r="I165" s="3" t="str">
        <v>Mobiliario</v>
      </c>
      <c r="J165" s="6">
        <v>280</v>
      </c>
      <c r="K165" s="6">
        <f t="shared" si="6"/>
        <v>280</v>
      </c>
      <c r="L165" s="6">
        <f t="shared" si="7"/>
        <v>266</v>
      </c>
      <c r="M165" s="19">
        <f t="shared" si="8"/>
        <v>14</v>
      </c>
    </row>
    <row r="166" spans="1:13" x14ac:dyDescent="0.25">
      <c r="A166" s="2" t="s">
        <v>313</v>
      </c>
      <c r="B166" s="2" t="s">
        <v>314</v>
      </c>
      <c r="C166" s="3" t="s">
        <v>14</v>
      </c>
      <c r="D166" s="3" t="s">
        <v>52</v>
      </c>
      <c r="E166" s="2" t="s">
        <v>93</v>
      </c>
      <c r="F166" s="4">
        <v>2</v>
      </c>
      <c r="G166" s="5">
        <v>0</v>
      </c>
      <c r="H166" s="3" t="str" cm="1">
        <f t="array" ref="H166:J166">_xlfn.XLOOKUP(E166,Catálogo_Productos!$A:$A,Catálogo_Productos!$B:$D,"producto no encontrado")</f>
        <v>Monitor 4K 27"</v>
      </c>
      <c r="I166" s="3" t="str">
        <v>Tecnología</v>
      </c>
      <c r="J166" s="6">
        <v>350</v>
      </c>
      <c r="K166" s="6">
        <f t="shared" si="6"/>
        <v>700</v>
      </c>
      <c r="L166" s="6">
        <f t="shared" si="7"/>
        <v>700</v>
      </c>
      <c r="M166" s="19">
        <f t="shared" si="8"/>
        <v>0</v>
      </c>
    </row>
    <row r="167" spans="1:13" x14ac:dyDescent="0.25">
      <c r="A167" s="2" t="s">
        <v>315</v>
      </c>
      <c r="B167" s="2" t="s">
        <v>296</v>
      </c>
      <c r="C167" s="3" t="s">
        <v>23</v>
      </c>
      <c r="D167" s="3" t="s">
        <v>15</v>
      </c>
      <c r="E167" s="2" t="s">
        <v>28</v>
      </c>
      <c r="F167" s="4">
        <v>5</v>
      </c>
      <c r="G167" s="5">
        <v>0</v>
      </c>
      <c r="H167" s="3" t="str" cm="1">
        <f t="array" ref="H167:J167">_xlfn.XLOOKUP(E167,Catálogo_Productos!$A:$A,Catálogo_Productos!$B:$D,"producto no encontrado")</f>
        <v>Laptop Pro 15</v>
      </c>
      <c r="I167" s="3" t="str">
        <v>Tecnología</v>
      </c>
      <c r="J167" s="6">
        <v>1200</v>
      </c>
      <c r="K167" s="6">
        <f t="shared" si="6"/>
        <v>6000</v>
      </c>
      <c r="L167" s="6">
        <f t="shared" si="7"/>
        <v>6000</v>
      </c>
      <c r="M167" s="19">
        <f t="shared" si="8"/>
        <v>0</v>
      </c>
    </row>
    <row r="168" spans="1:13" x14ac:dyDescent="0.25">
      <c r="A168" s="2" t="s">
        <v>316</v>
      </c>
      <c r="B168" s="2" t="s">
        <v>317</v>
      </c>
      <c r="C168" s="3" t="s">
        <v>43</v>
      </c>
      <c r="D168" s="3" t="s">
        <v>40</v>
      </c>
      <c r="E168" s="2" t="s">
        <v>28</v>
      </c>
      <c r="F168" s="4">
        <v>6</v>
      </c>
      <c r="G168" s="5">
        <v>0</v>
      </c>
      <c r="H168" s="3" t="str" cm="1">
        <f t="array" ref="H168:J168">_xlfn.XLOOKUP(E168,Catálogo_Productos!$A:$A,Catálogo_Productos!$B:$D,"producto no encontrado")</f>
        <v>Laptop Pro 15</v>
      </c>
      <c r="I168" s="3" t="str">
        <v>Tecnología</v>
      </c>
      <c r="J168" s="6">
        <v>1200</v>
      </c>
      <c r="K168" s="6">
        <f t="shared" si="6"/>
        <v>7200</v>
      </c>
      <c r="L168" s="6">
        <f t="shared" si="7"/>
        <v>7200</v>
      </c>
      <c r="M168" s="19">
        <f t="shared" si="8"/>
        <v>0</v>
      </c>
    </row>
    <row r="169" spans="1:13" x14ac:dyDescent="0.25">
      <c r="A169" s="2" t="s">
        <v>318</v>
      </c>
      <c r="B169" s="2" t="s">
        <v>319</v>
      </c>
      <c r="C169" s="3" t="s">
        <v>43</v>
      </c>
      <c r="D169" s="3" t="s">
        <v>52</v>
      </c>
      <c r="E169" s="2" t="s">
        <v>57</v>
      </c>
      <c r="F169" s="4">
        <v>3</v>
      </c>
      <c r="G169" s="5">
        <v>0</v>
      </c>
      <c r="H169" s="3" t="str" cm="1">
        <f t="array" ref="H169:J169">_xlfn.XLOOKUP(E169,Catálogo_Productos!$A:$A,Catálogo_Productos!$B:$D,"producto no encontrado")</f>
        <v>Escritorio Elevable</v>
      </c>
      <c r="I169" s="3" t="str">
        <v>Mobiliario</v>
      </c>
      <c r="J169" s="6">
        <v>420</v>
      </c>
      <c r="K169" s="6">
        <f t="shared" si="6"/>
        <v>1260</v>
      </c>
      <c r="L169" s="6">
        <f t="shared" si="7"/>
        <v>1260</v>
      </c>
      <c r="M169" s="19">
        <f t="shared" si="8"/>
        <v>0</v>
      </c>
    </row>
    <row r="170" spans="1:13" x14ac:dyDescent="0.25">
      <c r="A170" s="2" t="s">
        <v>320</v>
      </c>
      <c r="B170" s="2" t="s">
        <v>317</v>
      </c>
      <c r="C170" s="3" t="s">
        <v>14</v>
      </c>
      <c r="D170" s="3" t="s">
        <v>52</v>
      </c>
      <c r="E170" s="2" t="s">
        <v>16</v>
      </c>
      <c r="F170" s="4">
        <v>7</v>
      </c>
      <c r="G170" s="5">
        <v>0</v>
      </c>
      <c r="H170" s="3" t="str" cm="1">
        <f t="array" ref="H170:J170">_xlfn.XLOOKUP(E170,Catálogo_Productos!$A:$A,Catálogo_Productos!$B:$D,"producto no encontrado")</f>
        <v>Micrófono USB Studio</v>
      </c>
      <c r="I170" s="3" t="str">
        <v>Audio</v>
      </c>
      <c r="J170" s="6">
        <v>130</v>
      </c>
      <c r="K170" s="6">
        <f t="shared" si="6"/>
        <v>910</v>
      </c>
      <c r="L170" s="6">
        <f t="shared" si="7"/>
        <v>910</v>
      </c>
      <c r="M170" s="19">
        <f t="shared" si="8"/>
        <v>0</v>
      </c>
    </row>
    <row r="171" spans="1:13" x14ac:dyDescent="0.25">
      <c r="A171" s="2" t="s">
        <v>321</v>
      </c>
      <c r="B171" s="2" t="s">
        <v>45</v>
      </c>
      <c r="C171" s="3" t="s">
        <v>14</v>
      </c>
      <c r="D171" s="3" t="s">
        <v>15</v>
      </c>
      <c r="E171" s="2" t="s">
        <v>60</v>
      </c>
      <c r="F171" s="4">
        <v>4</v>
      </c>
      <c r="G171" s="5">
        <v>0</v>
      </c>
      <c r="H171" s="3" t="str" cm="1">
        <f t="array" ref="H171:J171">_xlfn.XLOOKUP(E171,Catálogo_Productos!$A:$A,Catálogo_Productos!$B:$D,"producto no encontrado")</f>
        <v>Teclado Mecánico RGB</v>
      </c>
      <c r="I171" s="3" t="str">
        <v>Accesorios</v>
      </c>
      <c r="J171" s="6">
        <v>85</v>
      </c>
      <c r="K171" s="6">
        <f t="shared" si="6"/>
        <v>340</v>
      </c>
      <c r="L171" s="6">
        <f t="shared" si="7"/>
        <v>340</v>
      </c>
      <c r="M171" s="19">
        <f t="shared" si="8"/>
        <v>0</v>
      </c>
    </row>
    <row r="172" spans="1:13" x14ac:dyDescent="0.25">
      <c r="A172" s="2" t="s">
        <v>322</v>
      </c>
      <c r="B172" s="2" t="s">
        <v>323</v>
      </c>
      <c r="C172" s="3" t="s">
        <v>43</v>
      </c>
      <c r="D172" s="3" t="s">
        <v>52</v>
      </c>
      <c r="E172" s="2" t="s">
        <v>35</v>
      </c>
      <c r="F172" s="4">
        <v>5</v>
      </c>
      <c r="G172" s="5">
        <v>0.15</v>
      </c>
      <c r="H172" s="3" t="str" cm="1">
        <f t="array" ref="H172:J172">_xlfn.XLOOKUP(E172,Catálogo_Productos!$A:$A,Catálogo_Productos!$B:$D,"producto no encontrado")</f>
        <v>Audífonos Noise Cancelling</v>
      </c>
      <c r="I172" s="3" t="str">
        <v>Audio</v>
      </c>
      <c r="J172" s="6">
        <v>190</v>
      </c>
      <c r="K172" s="6">
        <f t="shared" si="6"/>
        <v>950</v>
      </c>
      <c r="L172" s="6">
        <f t="shared" si="7"/>
        <v>807.5</v>
      </c>
      <c r="M172" s="19">
        <f t="shared" si="8"/>
        <v>142.5</v>
      </c>
    </row>
    <row r="173" spans="1:13" x14ac:dyDescent="0.25">
      <c r="A173" s="2" t="s">
        <v>324</v>
      </c>
      <c r="B173" s="2" t="s">
        <v>101</v>
      </c>
      <c r="C173" s="3" t="s">
        <v>19</v>
      </c>
      <c r="D173" s="3" t="s">
        <v>20</v>
      </c>
      <c r="E173" s="2" t="s">
        <v>16</v>
      </c>
      <c r="F173" s="4">
        <v>6</v>
      </c>
      <c r="G173" s="5">
        <v>0</v>
      </c>
      <c r="H173" s="3" t="str" cm="1">
        <f t="array" ref="H173:J173">_xlfn.XLOOKUP(E173,Catálogo_Productos!$A:$A,Catálogo_Productos!$B:$D,"producto no encontrado")</f>
        <v>Micrófono USB Studio</v>
      </c>
      <c r="I173" s="3" t="str">
        <v>Audio</v>
      </c>
      <c r="J173" s="6">
        <v>130</v>
      </c>
      <c r="K173" s="6">
        <f t="shared" si="6"/>
        <v>780</v>
      </c>
      <c r="L173" s="6">
        <f t="shared" si="7"/>
        <v>780</v>
      </c>
      <c r="M173" s="19">
        <f t="shared" si="8"/>
        <v>0</v>
      </c>
    </row>
    <row r="174" spans="1:13" x14ac:dyDescent="0.25">
      <c r="A174" s="2" t="s">
        <v>325</v>
      </c>
      <c r="B174" s="2" t="s">
        <v>326</v>
      </c>
      <c r="C174" s="3" t="s">
        <v>23</v>
      </c>
      <c r="D174" s="3" t="s">
        <v>20</v>
      </c>
      <c r="E174" s="2" t="s">
        <v>24</v>
      </c>
      <c r="F174" s="4">
        <v>3</v>
      </c>
      <c r="G174" s="5">
        <v>0</v>
      </c>
      <c r="H174" s="3" t="str" cm="1">
        <f t="array" ref="H174:J174">_xlfn.XLOOKUP(E174,Catálogo_Productos!$A:$A,Catálogo_Productos!$B:$D,"producto no encontrado")</f>
        <v>Silla Ergonómica</v>
      </c>
      <c r="I174" s="3" t="str">
        <v>Mobiliario</v>
      </c>
      <c r="J174" s="6">
        <v>280</v>
      </c>
      <c r="K174" s="6">
        <f t="shared" si="6"/>
        <v>840</v>
      </c>
      <c r="L174" s="6">
        <f t="shared" si="7"/>
        <v>840</v>
      </c>
      <c r="M174" s="19">
        <f t="shared" si="8"/>
        <v>0</v>
      </c>
    </row>
    <row r="175" spans="1:13" x14ac:dyDescent="0.25">
      <c r="A175" s="2" t="s">
        <v>327</v>
      </c>
      <c r="B175" s="2" t="s">
        <v>328</v>
      </c>
      <c r="C175" s="3" t="s">
        <v>14</v>
      </c>
      <c r="D175" s="3" t="s">
        <v>52</v>
      </c>
      <c r="E175" s="2" t="s">
        <v>60</v>
      </c>
      <c r="F175" s="4">
        <v>1</v>
      </c>
      <c r="G175" s="5">
        <v>0.1</v>
      </c>
      <c r="H175" s="3" t="str" cm="1">
        <f t="array" ref="H175:J175">_xlfn.XLOOKUP(E175,Catálogo_Productos!$A:$A,Catálogo_Productos!$B:$D,"producto no encontrado")</f>
        <v>Teclado Mecánico RGB</v>
      </c>
      <c r="I175" s="3" t="str">
        <v>Accesorios</v>
      </c>
      <c r="J175" s="6">
        <v>85</v>
      </c>
      <c r="K175" s="6">
        <f t="shared" si="6"/>
        <v>85</v>
      </c>
      <c r="L175" s="6">
        <f t="shared" si="7"/>
        <v>76.5</v>
      </c>
      <c r="M175" s="19">
        <f t="shared" si="8"/>
        <v>8.5</v>
      </c>
    </row>
    <row r="176" spans="1:13" x14ac:dyDescent="0.25">
      <c r="A176" s="2" t="s">
        <v>329</v>
      </c>
      <c r="B176" s="2" t="s">
        <v>99</v>
      </c>
      <c r="C176" s="3" t="s">
        <v>14</v>
      </c>
      <c r="D176" s="3" t="s">
        <v>15</v>
      </c>
      <c r="E176" s="2" t="s">
        <v>93</v>
      </c>
      <c r="F176" s="4">
        <v>3</v>
      </c>
      <c r="G176" s="5">
        <v>0</v>
      </c>
      <c r="H176" s="3" t="str" cm="1">
        <f t="array" ref="H176:J176">_xlfn.XLOOKUP(E176,Catálogo_Productos!$A:$A,Catálogo_Productos!$B:$D,"producto no encontrado")</f>
        <v>Monitor 4K 27"</v>
      </c>
      <c r="I176" s="3" t="str">
        <v>Tecnología</v>
      </c>
      <c r="J176" s="6">
        <v>350</v>
      </c>
      <c r="K176" s="6">
        <f t="shared" si="6"/>
        <v>1050</v>
      </c>
      <c r="L176" s="6">
        <f t="shared" si="7"/>
        <v>1050</v>
      </c>
      <c r="M176" s="19">
        <f t="shared" si="8"/>
        <v>0</v>
      </c>
    </row>
    <row r="177" spans="1:13" x14ac:dyDescent="0.25">
      <c r="A177" s="2" t="s">
        <v>330</v>
      </c>
      <c r="B177" s="2" t="s">
        <v>253</v>
      </c>
      <c r="C177" s="3" t="s">
        <v>19</v>
      </c>
      <c r="D177" s="3" t="s">
        <v>52</v>
      </c>
      <c r="E177" s="2" t="s">
        <v>24</v>
      </c>
      <c r="F177" s="4">
        <v>2</v>
      </c>
      <c r="G177" s="5">
        <v>0</v>
      </c>
      <c r="H177" s="3" t="str" cm="1">
        <f t="array" ref="H177:J177">_xlfn.XLOOKUP(E177,Catálogo_Productos!$A:$A,Catálogo_Productos!$B:$D,"producto no encontrado")</f>
        <v>Silla Ergonómica</v>
      </c>
      <c r="I177" s="3" t="str">
        <v>Mobiliario</v>
      </c>
      <c r="J177" s="6">
        <v>280</v>
      </c>
      <c r="K177" s="6">
        <f t="shared" si="6"/>
        <v>560</v>
      </c>
      <c r="L177" s="6">
        <f t="shared" si="7"/>
        <v>560</v>
      </c>
      <c r="M177" s="19">
        <f t="shared" si="8"/>
        <v>0</v>
      </c>
    </row>
    <row r="178" spans="1:13" x14ac:dyDescent="0.25">
      <c r="A178" s="2" t="s">
        <v>331</v>
      </c>
      <c r="B178" s="2" t="s">
        <v>332</v>
      </c>
      <c r="C178" s="3" t="s">
        <v>19</v>
      </c>
      <c r="D178" s="3" t="s">
        <v>15</v>
      </c>
      <c r="E178" s="2" t="s">
        <v>57</v>
      </c>
      <c r="F178" s="4">
        <v>7</v>
      </c>
      <c r="G178" s="5">
        <v>0</v>
      </c>
      <c r="H178" s="3" t="str" cm="1">
        <f t="array" ref="H178:J178">_xlfn.XLOOKUP(E178,Catálogo_Productos!$A:$A,Catálogo_Productos!$B:$D,"producto no encontrado")</f>
        <v>Escritorio Elevable</v>
      </c>
      <c r="I178" s="3" t="str">
        <v>Mobiliario</v>
      </c>
      <c r="J178" s="6">
        <v>420</v>
      </c>
      <c r="K178" s="6">
        <f t="shared" si="6"/>
        <v>2940</v>
      </c>
      <c r="L178" s="6">
        <f t="shared" si="7"/>
        <v>2940</v>
      </c>
      <c r="M178" s="19">
        <f t="shared" si="8"/>
        <v>0</v>
      </c>
    </row>
    <row r="179" spans="1:13" x14ac:dyDescent="0.25">
      <c r="A179" s="2" t="s">
        <v>333</v>
      </c>
      <c r="B179" s="2" t="s">
        <v>334</v>
      </c>
      <c r="C179" s="3" t="s">
        <v>23</v>
      </c>
      <c r="D179" s="3" t="s">
        <v>15</v>
      </c>
      <c r="E179" s="2" t="s">
        <v>32</v>
      </c>
      <c r="F179" s="4">
        <v>6</v>
      </c>
      <c r="G179" s="5">
        <v>0.1</v>
      </c>
      <c r="H179" s="3" t="str" cm="1">
        <f t="array" ref="H179:J179">_xlfn.XLOOKUP(E179,Catálogo_Productos!$A:$A,Catálogo_Productos!$B:$D,"producto no encontrado")</f>
        <v>Mouse Inalámbrico Pro</v>
      </c>
      <c r="I179" s="3" t="str">
        <v>Accesorios</v>
      </c>
      <c r="J179" s="6">
        <v>45</v>
      </c>
      <c r="K179" s="6">
        <f t="shared" si="6"/>
        <v>270</v>
      </c>
      <c r="L179" s="6">
        <f t="shared" si="7"/>
        <v>243</v>
      </c>
      <c r="M179" s="19">
        <f t="shared" si="8"/>
        <v>27</v>
      </c>
    </row>
    <row r="180" spans="1:13" x14ac:dyDescent="0.25">
      <c r="A180" s="2" t="s">
        <v>335</v>
      </c>
      <c r="B180" s="2" t="s">
        <v>228</v>
      </c>
      <c r="C180" s="3" t="s">
        <v>31</v>
      </c>
      <c r="D180" s="3" t="s">
        <v>40</v>
      </c>
      <c r="E180" s="2" t="s">
        <v>57</v>
      </c>
      <c r="F180" s="4">
        <v>2</v>
      </c>
      <c r="G180" s="5">
        <v>0.15</v>
      </c>
      <c r="H180" s="3" t="str" cm="1">
        <f t="array" ref="H180:J180">_xlfn.XLOOKUP(E180,Catálogo_Productos!$A:$A,Catálogo_Productos!$B:$D,"producto no encontrado")</f>
        <v>Escritorio Elevable</v>
      </c>
      <c r="I180" s="3" t="str">
        <v>Mobiliario</v>
      </c>
      <c r="J180" s="6">
        <v>420</v>
      </c>
      <c r="K180" s="6">
        <f t="shared" si="6"/>
        <v>840</v>
      </c>
      <c r="L180" s="6">
        <f t="shared" si="7"/>
        <v>714</v>
      </c>
      <c r="M180" s="19">
        <f t="shared" si="8"/>
        <v>126</v>
      </c>
    </row>
    <row r="181" spans="1:13" x14ac:dyDescent="0.25">
      <c r="A181" s="2" t="s">
        <v>336</v>
      </c>
      <c r="B181" s="2" t="s">
        <v>222</v>
      </c>
      <c r="C181" s="3" t="s">
        <v>19</v>
      </c>
      <c r="D181" s="3" t="s">
        <v>20</v>
      </c>
      <c r="E181" s="2" t="s">
        <v>60</v>
      </c>
      <c r="F181" s="4">
        <v>2</v>
      </c>
      <c r="G181" s="5">
        <v>0.1</v>
      </c>
      <c r="H181" s="3" t="str" cm="1">
        <f t="array" ref="H181:J181">_xlfn.XLOOKUP(E181,Catálogo_Productos!$A:$A,Catálogo_Productos!$B:$D,"producto no encontrado")</f>
        <v>Teclado Mecánico RGB</v>
      </c>
      <c r="I181" s="3" t="str">
        <v>Accesorios</v>
      </c>
      <c r="J181" s="6">
        <v>85</v>
      </c>
      <c r="K181" s="6">
        <f t="shared" si="6"/>
        <v>170</v>
      </c>
      <c r="L181" s="6">
        <f t="shared" si="7"/>
        <v>153</v>
      </c>
      <c r="M181" s="19">
        <f t="shared" si="8"/>
        <v>17</v>
      </c>
    </row>
    <row r="182" spans="1:13" x14ac:dyDescent="0.25">
      <c r="A182" s="2" t="s">
        <v>337</v>
      </c>
      <c r="B182" s="2" t="s">
        <v>338</v>
      </c>
      <c r="C182" s="3" t="s">
        <v>43</v>
      </c>
      <c r="D182" s="3" t="s">
        <v>52</v>
      </c>
      <c r="E182" s="2" t="s">
        <v>16</v>
      </c>
      <c r="F182" s="4">
        <v>3</v>
      </c>
      <c r="G182" s="5">
        <v>0.05</v>
      </c>
      <c r="H182" s="3" t="str" cm="1">
        <f t="array" ref="H182:J182">_xlfn.XLOOKUP(E182,Catálogo_Productos!$A:$A,Catálogo_Productos!$B:$D,"producto no encontrado")</f>
        <v>Micrófono USB Studio</v>
      </c>
      <c r="I182" s="3" t="str">
        <v>Audio</v>
      </c>
      <c r="J182" s="6">
        <v>130</v>
      </c>
      <c r="K182" s="6">
        <f t="shared" si="6"/>
        <v>390</v>
      </c>
      <c r="L182" s="6">
        <f t="shared" si="7"/>
        <v>370.5</v>
      </c>
      <c r="M182" s="19">
        <f t="shared" si="8"/>
        <v>19.5</v>
      </c>
    </row>
    <row r="183" spans="1:13" x14ac:dyDescent="0.25">
      <c r="A183" s="2" t="s">
        <v>339</v>
      </c>
      <c r="B183" s="2" t="s">
        <v>62</v>
      </c>
      <c r="C183" s="3" t="s">
        <v>23</v>
      </c>
      <c r="D183" s="3" t="s">
        <v>20</v>
      </c>
      <c r="E183" s="2" t="s">
        <v>32</v>
      </c>
      <c r="F183" s="4">
        <v>5</v>
      </c>
      <c r="G183" s="5">
        <v>0</v>
      </c>
      <c r="H183" s="3" t="str" cm="1">
        <f t="array" ref="H183:J183">_xlfn.XLOOKUP(E183,Catálogo_Productos!$A:$A,Catálogo_Productos!$B:$D,"producto no encontrado")</f>
        <v>Mouse Inalámbrico Pro</v>
      </c>
      <c r="I183" s="3" t="str">
        <v>Accesorios</v>
      </c>
      <c r="J183" s="6">
        <v>45</v>
      </c>
      <c r="K183" s="6">
        <f t="shared" si="6"/>
        <v>225</v>
      </c>
      <c r="L183" s="6">
        <f t="shared" si="7"/>
        <v>225</v>
      </c>
      <c r="M183" s="19">
        <f t="shared" si="8"/>
        <v>0</v>
      </c>
    </row>
    <row r="184" spans="1:13" x14ac:dyDescent="0.25">
      <c r="A184" s="2" t="s">
        <v>340</v>
      </c>
      <c r="B184" s="2" t="s">
        <v>341</v>
      </c>
      <c r="C184" s="3" t="s">
        <v>43</v>
      </c>
      <c r="D184" s="3" t="s">
        <v>40</v>
      </c>
      <c r="E184" s="2" t="s">
        <v>24</v>
      </c>
      <c r="F184" s="4">
        <v>6</v>
      </c>
      <c r="G184" s="5">
        <v>0</v>
      </c>
      <c r="H184" s="3" t="str" cm="1">
        <f t="array" ref="H184:J184">_xlfn.XLOOKUP(E184,Catálogo_Productos!$A:$A,Catálogo_Productos!$B:$D,"producto no encontrado")</f>
        <v>Silla Ergonómica</v>
      </c>
      <c r="I184" s="3" t="str">
        <v>Mobiliario</v>
      </c>
      <c r="J184" s="6">
        <v>280</v>
      </c>
      <c r="K184" s="6">
        <f t="shared" si="6"/>
        <v>1680</v>
      </c>
      <c r="L184" s="6">
        <f t="shared" si="7"/>
        <v>1680</v>
      </c>
      <c r="M184" s="19">
        <f t="shared" si="8"/>
        <v>0</v>
      </c>
    </row>
    <row r="185" spans="1:13" x14ac:dyDescent="0.25">
      <c r="A185" s="2" t="s">
        <v>342</v>
      </c>
      <c r="B185" s="2" t="s">
        <v>343</v>
      </c>
      <c r="C185" s="3" t="s">
        <v>43</v>
      </c>
      <c r="D185" s="3" t="s">
        <v>52</v>
      </c>
      <c r="E185" s="2" t="s">
        <v>57</v>
      </c>
      <c r="F185" s="4">
        <v>3</v>
      </c>
      <c r="G185" s="5">
        <v>0</v>
      </c>
      <c r="H185" s="3" t="str" cm="1">
        <f t="array" ref="H185:J185">_xlfn.XLOOKUP(E185,Catálogo_Productos!$A:$A,Catálogo_Productos!$B:$D,"producto no encontrado")</f>
        <v>Escritorio Elevable</v>
      </c>
      <c r="I185" s="3" t="str">
        <v>Mobiliario</v>
      </c>
      <c r="J185" s="6">
        <v>420</v>
      </c>
      <c r="K185" s="6">
        <f t="shared" si="6"/>
        <v>1260</v>
      </c>
      <c r="L185" s="6">
        <f t="shared" si="7"/>
        <v>1260</v>
      </c>
      <c r="M185" s="19">
        <f t="shared" si="8"/>
        <v>0</v>
      </c>
    </row>
    <row r="186" spans="1:13" x14ac:dyDescent="0.25">
      <c r="A186" s="2" t="s">
        <v>344</v>
      </c>
      <c r="B186" s="2" t="s">
        <v>310</v>
      </c>
      <c r="C186" s="3" t="s">
        <v>27</v>
      </c>
      <c r="D186" s="3" t="s">
        <v>20</v>
      </c>
      <c r="E186" s="2" t="s">
        <v>57</v>
      </c>
      <c r="F186" s="4">
        <v>1</v>
      </c>
      <c r="G186" s="5">
        <v>0</v>
      </c>
      <c r="H186" s="3" t="str" cm="1">
        <f t="array" ref="H186:J186">_xlfn.XLOOKUP(E186,Catálogo_Productos!$A:$A,Catálogo_Productos!$B:$D,"producto no encontrado")</f>
        <v>Escritorio Elevable</v>
      </c>
      <c r="I186" s="3" t="str">
        <v>Mobiliario</v>
      </c>
      <c r="J186" s="6">
        <v>420</v>
      </c>
      <c r="K186" s="6">
        <f t="shared" si="6"/>
        <v>420</v>
      </c>
      <c r="L186" s="6">
        <f t="shared" si="7"/>
        <v>420</v>
      </c>
      <c r="M186" s="19">
        <f t="shared" si="8"/>
        <v>0</v>
      </c>
    </row>
    <row r="187" spans="1:13" x14ac:dyDescent="0.25">
      <c r="A187" s="2" t="s">
        <v>345</v>
      </c>
      <c r="B187" s="2" t="s">
        <v>346</v>
      </c>
      <c r="C187" s="3" t="s">
        <v>43</v>
      </c>
      <c r="D187" s="3" t="s">
        <v>20</v>
      </c>
      <c r="E187" s="2" t="s">
        <v>35</v>
      </c>
      <c r="F187" s="4">
        <v>3</v>
      </c>
      <c r="G187" s="5">
        <v>0.05</v>
      </c>
      <c r="H187" s="3" t="str" cm="1">
        <f t="array" ref="H187:J187">_xlfn.XLOOKUP(E187,Catálogo_Productos!$A:$A,Catálogo_Productos!$B:$D,"producto no encontrado")</f>
        <v>Audífonos Noise Cancelling</v>
      </c>
      <c r="I187" s="3" t="str">
        <v>Audio</v>
      </c>
      <c r="J187" s="6">
        <v>190</v>
      </c>
      <c r="K187" s="6">
        <f t="shared" si="6"/>
        <v>570</v>
      </c>
      <c r="L187" s="6">
        <f t="shared" si="7"/>
        <v>541.5</v>
      </c>
      <c r="M187" s="19">
        <f t="shared" si="8"/>
        <v>28.5</v>
      </c>
    </row>
    <row r="188" spans="1:13" x14ac:dyDescent="0.25">
      <c r="A188" s="2" t="s">
        <v>347</v>
      </c>
      <c r="B188" s="2" t="s">
        <v>348</v>
      </c>
      <c r="C188" s="3" t="s">
        <v>19</v>
      </c>
      <c r="D188" s="3" t="s">
        <v>15</v>
      </c>
      <c r="E188" s="2" t="s">
        <v>35</v>
      </c>
      <c r="F188" s="4">
        <v>2</v>
      </c>
      <c r="G188" s="5">
        <v>0.05</v>
      </c>
      <c r="H188" s="3" t="str" cm="1">
        <f t="array" ref="H188:J188">_xlfn.XLOOKUP(E188,Catálogo_Productos!$A:$A,Catálogo_Productos!$B:$D,"producto no encontrado")</f>
        <v>Audífonos Noise Cancelling</v>
      </c>
      <c r="I188" s="3" t="str">
        <v>Audio</v>
      </c>
      <c r="J188" s="6">
        <v>190</v>
      </c>
      <c r="K188" s="6">
        <f t="shared" si="6"/>
        <v>380</v>
      </c>
      <c r="L188" s="6">
        <f t="shared" si="7"/>
        <v>361</v>
      </c>
      <c r="M188" s="19">
        <f t="shared" si="8"/>
        <v>19</v>
      </c>
    </row>
    <row r="189" spans="1:13" x14ac:dyDescent="0.25">
      <c r="A189" s="2" t="s">
        <v>349</v>
      </c>
      <c r="B189" s="2" t="s">
        <v>350</v>
      </c>
      <c r="C189" s="3" t="s">
        <v>23</v>
      </c>
      <c r="D189" s="3" t="s">
        <v>15</v>
      </c>
      <c r="E189" s="2" t="s">
        <v>57</v>
      </c>
      <c r="F189" s="4">
        <v>2</v>
      </c>
      <c r="G189" s="5">
        <v>0.05</v>
      </c>
      <c r="H189" s="3" t="str" cm="1">
        <f t="array" ref="H189:J189">_xlfn.XLOOKUP(E189,Catálogo_Productos!$A:$A,Catálogo_Productos!$B:$D,"producto no encontrado")</f>
        <v>Escritorio Elevable</v>
      </c>
      <c r="I189" s="3" t="str">
        <v>Mobiliario</v>
      </c>
      <c r="J189" s="6">
        <v>420</v>
      </c>
      <c r="K189" s="6">
        <f t="shared" si="6"/>
        <v>840</v>
      </c>
      <c r="L189" s="6">
        <f t="shared" si="7"/>
        <v>798</v>
      </c>
      <c r="M189" s="19">
        <f t="shared" si="8"/>
        <v>42</v>
      </c>
    </row>
    <row r="190" spans="1:13" x14ac:dyDescent="0.25">
      <c r="A190" s="2" t="s">
        <v>351</v>
      </c>
      <c r="B190" s="2" t="s">
        <v>126</v>
      </c>
      <c r="C190" s="3" t="s">
        <v>27</v>
      </c>
      <c r="D190" s="3" t="s">
        <v>52</v>
      </c>
      <c r="E190" s="2" t="s">
        <v>28</v>
      </c>
      <c r="F190" s="4">
        <v>1</v>
      </c>
      <c r="G190" s="5">
        <v>0</v>
      </c>
      <c r="H190" s="3" t="str" cm="1">
        <f t="array" ref="H190:J190">_xlfn.XLOOKUP(E190,Catálogo_Productos!$A:$A,Catálogo_Productos!$B:$D,"producto no encontrado")</f>
        <v>Laptop Pro 15</v>
      </c>
      <c r="I190" s="3" t="str">
        <v>Tecnología</v>
      </c>
      <c r="J190" s="6">
        <v>1200</v>
      </c>
      <c r="K190" s="6">
        <f t="shared" si="6"/>
        <v>1200</v>
      </c>
      <c r="L190" s="6">
        <f t="shared" si="7"/>
        <v>1200</v>
      </c>
      <c r="M190" s="19">
        <f t="shared" si="8"/>
        <v>0</v>
      </c>
    </row>
    <row r="191" spans="1:13" x14ac:dyDescent="0.25">
      <c r="A191" s="2" t="s">
        <v>352</v>
      </c>
      <c r="B191" s="2" t="s">
        <v>222</v>
      </c>
      <c r="C191" s="3" t="s">
        <v>14</v>
      </c>
      <c r="D191" s="3" t="s">
        <v>15</v>
      </c>
      <c r="E191" s="2" t="s">
        <v>24</v>
      </c>
      <c r="F191" s="4">
        <v>7</v>
      </c>
      <c r="G191" s="5">
        <v>0</v>
      </c>
      <c r="H191" s="3" t="str" cm="1">
        <f t="array" ref="H191:J191">_xlfn.XLOOKUP(E191,Catálogo_Productos!$A:$A,Catálogo_Productos!$B:$D,"producto no encontrado")</f>
        <v>Silla Ergonómica</v>
      </c>
      <c r="I191" s="3" t="str">
        <v>Mobiliario</v>
      </c>
      <c r="J191" s="6">
        <v>280</v>
      </c>
      <c r="K191" s="6">
        <f t="shared" si="6"/>
        <v>1960</v>
      </c>
      <c r="L191" s="6">
        <f t="shared" si="7"/>
        <v>1960</v>
      </c>
      <c r="M191" s="19">
        <f t="shared" si="8"/>
        <v>0</v>
      </c>
    </row>
    <row r="192" spans="1:13" x14ac:dyDescent="0.25">
      <c r="A192" s="2" t="s">
        <v>353</v>
      </c>
      <c r="B192" s="2" t="s">
        <v>354</v>
      </c>
      <c r="C192" s="3" t="s">
        <v>31</v>
      </c>
      <c r="D192" s="3" t="s">
        <v>20</v>
      </c>
      <c r="E192" s="2" t="s">
        <v>35</v>
      </c>
      <c r="F192" s="4">
        <v>1</v>
      </c>
      <c r="G192" s="5">
        <v>0</v>
      </c>
      <c r="H192" s="3" t="str" cm="1">
        <f t="array" ref="H192:J192">_xlfn.XLOOKUP(E192,Catálogo_Productos!$A:$A,Catálogo_Productos!$B:$D,"producto no encontrado")</f>
        <v>Audífonos Noise Cancelling</v>
      </c>
      <c r="I192" s="3" t="str">
        <v>Audio</v>
      </c>
      <c r="J192" s="6">
        <v>190</v>
      </c>
      <c r="K192" s="6">
        <f t="shared" si="6"/>
        <v>190</v>
      </c>
      <c r="L192" s="6">
        <f t="shared" si="7"/>
        <v>190</v>
      </c>
      <c r="M192" s="19">
        <f t="shared" si="8"/>
        <v>0</v>
      </c>
    </row>
    <row r="193" spans="1:13" x14ac:dyDescent="0.25">
      <c r="A193" s="2" t="s">
        <v>355</v>
      </c>
      <c r="B193" s="2" t="s">
        <v>356</v>
      </c>
      <c r="C193" s="3" t="s">
        <v>14</v>
      </c>
      <c r="D193" s="3" t="s">
        <v>20</v>
      </c>
      <c r="E193" s="2" t="s">
        <v>60</v>
      </c>
      <c r="F193" s="4">
        <v>6</v>
      </c>
      <c r="G193" s="5">
        <v>0</v>
      </c>
      <c r="H193" s="3" t="str" cm="1">
        <f t="array" ref="H193:J193">_xlfn.XLOOKUP(E193,Catálogo_Productos!$A:$A,Catálogo_Productos!$B:$D,"producto no encontrado")</f>
        <v>Teclado Mecánico RGB</v>
      </c>
      <c r="I193" s="3" t="str">
        <v>Accesorios</v>
      </c>
      <c r="J193" s="6">
        <v>85</v>
      </c>
      <c r="K193" s="6">
        <f t="shared" si="6"/>
        <v>510</v>
      </c>
      <c r="L193" s="6">
        <f t="shared" si="7"/>
        <v>510</v>
      </c>
      <c r="M193" s="19">
        <f t="shared" si="8"/>
        <v>0</v>
      </c>
    </row>
    <row r="194" spans="1:13" x14ac:dyDescent="0.25">
      <c r="A194" s="2" t="s">
        <v>357</v>
      </c>
      <c r="B194" s="2" t="s">
        <v>358</v>
      </c>
      <c r="C194" s="3" t="s">
        <v>31</v>
      </c>
      <c r="D194" s="3" t="s">
        <v>40</v>
      </c>
      <c r="E194" s="2" t="s">
        <v>24</v>
      </c>
      <c r="F194" s="4">
        <v>3</v>
      </c>
      <c r="G194" s="5">
        <v>0</v>
      </c>
      <c r="H194" s="3" t="str" cm="1">
        <f t="array" ref="H194:J194">_xlfn.XLOOKUP(E194,Catálogo_Productos!$A:$A,Catálogo_Productos!$B:$D,"producto no encontrado")</f>
        <v>Silla Ergonómica</v>
      </c>
      <c r="I194" s="3" t="str">
        <v>Mobiliario</v>
      </c>
      <c r="J194" s="6">
        <v>280</v>
      </c>
      <c r="K194" s="6">
        <f t="shared" ref="K194:K251" si="9">F194*J194</f>
        <v>840</v>
      </c>
      <c r="L194" s="6">
        <f t="shared" ref="L194:L251" si="10">K194*(1-G194)</f>
        <v>840</v>
      </c>
      <c r="M194" s="19">
        <f t="shared" si="8"/>
        <v>0</v>
      </c>
    </row>
    <row r="195" spans="1:13" x14ac:dyDescent="0.25">
      <c r="A195" s="2" t="s">
        <v>359</v>
      </c>
      <c r="B195" s="2" t="s">
        <v>328</v>
      </c>
      <c r="C195" s="3" t="s">
        <v>31</v>
      </c>
      <c r="D195" s="3" t="s">
        <v>52</v>
      </c>
      <c r="E195" s="2" t="s">
        <v>24</v>
      </c>
      <c r="F195" s="4">
        <v>3</v>
      </c>
      <c r="G195" s="5">
        <v>0.05</v>
      </c>
      <c r="H195" s="3" t="str" cm="1">
        <f t="array" ref="H195:J195">_xlfn.XLOOKUP(E195,Catálogo_Productos!$A:$A,Catálogo_Productos!$B:$D,"producto no encontrado")</f>
        <v>Silla Ergonómica</v>
      </c>
      <c r="I195" s="3" t="str">
        <v>Mobiliario</v>
      </c>
      <c r="J195" s="6">
        <v>280</v>
      </c>
      <c r="K195" s="6">
        <f t="shared" si="9"/>
        <v>840</v>
      </c>
      <c r="L195" s="6">
        <f t="shared" si="10"/>
        <v>798</v>
      </c>
      <c r="M195" s="19">
        <f t="shared" ref="M195:M251" si="11">K195-L195</f>
        <v>42</v>
      </c>
    </row>
    <row r="196" spans="1:13" x14ac:dyDescent="0.25">
      <c r="A196" s="2" t="s">
        <v>360</v>
      </c>
      <c r="B196" s="2" t="s">
        <v>110</v>
      </c>
      <c r="C196" s="3" t="s">
        <v>43</v>
      </c>
      <c r="D196" s="3" t="s">
        <v>20</v>
      </c>
      <c r="E196" s="2" t="s">
        <v>35</v>
      </c>
      <c r="F196" s="4">
        <v>6</v>
      </c>
      <c r="G196" s="5">
        <v>0</v>
      </c>
      <c r="H196" s="3" t="str" cm="1">
        <f t="array" ref="H196:J196">_xlfn.XLOOKUP(E196,Catálogo_Productos!$A:$A,Catálogo_Productos!$B:$D,"producto no encontrado")</f>
        <v>Audífonos Noise Cancelling</v>
      </c>
      <c r="I196" s="3" t="str">
        <v>Audio</v>
      </c>
      <c r="J196" s="6">
        <v>190</v>
      </c>
      <c r="K196" s="6">
        <f t="shared" si="9"/>
        <v>1140</v>
      </c>
      <c r="L196" s="6">
        <f t="shared" si="10"/>
        <v>1140</v>
      </c>
      <c r="M196" s="19">
        <f t="shared" si="11"/>
        <v>0</v>
      </c>
    </row>
    <row r="197" spans="1:13" x14ac:dyDescent="0.25">
      <c r="A197" s="2" t="s">
        <v>361</v>
      </c>
      <c r="B197" s="2" t="s">
        <v>275</v>
      </c>
      <c r="C197" s="3" t="s">
        <v>43</v>
      </c>
      <c r="D197" s="3" t="s">
        <v>40</v>
      </c>
      <c r="E197" s="2" t="s">
        <v>93</v>
      </c>
      <c r="F197" s="4">
        <v>5</v>
      </c>
      <c r="G197" s="5">
        <v>0</v>
      </c>
      <c r="H197" s="3" t="str" cm="1">
        <f t="array" ref="H197:J197">_xlfn.XLOOKUP(E197,Catálogo_Productos!$A:$A,Catálogo_Productos!$B:$D,"producto no encontrado")</f>
        <v>Monitor 4K 27"</v>
      </c>
      <c r="I197" s="3" t="str">
        <v>Tecnología</v>
      </c>
      <c r="J197" s="6">
        <v>350</v>
      </c>
      <c r="K197" s="6">
        <f t="shared" si="9"/>
        <v>1750</v>
      </c>
      <c r="L197" s="6">
        <f t="shared" si="10"/>
        <v>1750</v>
      </c>
      <c r="M197" s="19">
        <f t="shared" si="11"/>
        <v>0</v>
      </c>
    </row>
    <row r="198" spans="1:13" x14ac:dyDescent="0.25">
      <c r="A198" s="2" t="s">
        <v>362</v>
      </c>
      <c r="B198" s="2" t="s">
        <v>86</v>
      </c>
      <c r="C198" s="3" t="s">
        <v>23</v>
      </c>
      <c r="D198" s="3" t="s">
        <v>20</v>
      </c>
      <c r="E198" s="2" t="s">
        <v>35</v>
      </c>
      <c r="F198" s="4">
        <v>6</v>
      </c>
      <c r="G198" s="5">
        <v>0.05</v>
      </c>
      <c r="H198" s="3" t="str" cm="1">
        <f t="array" ref="H198:J198">_xlfn.XLOOKUP(E198,Catálogo_Productos!$A:$A,Catálogo_Productos!$B:$D,"producto no encontrado")</f>
        <v>Audífonos Noise Cancelling</v>
      </c>
      <c r="I198" s="3" t="str">
        <v>Audio</v>
      </c>
      <c r="J198" s="6">
        <v>190</v>
      </c>
      <c r="K198" s="6">
        <f t="shared" si="9"/>
        <v>1140</v>
      </c>
      <c r="L198" s="6">
        <f t="shared" si="10"/>
        <v>1083</v>
      </c>
      <c r="M198" s="19">
        <f t="shared" si="11"/>
        <v>57</v>
      </c>
    </row>
    <row r="199" spans="1:13" x14ac:dyDescent="0.25">
      <c r="A199" s="2" t="s">
        <v>363</v>
      </c>
      <c r="B199" s="2" t="s">
        <v>232</v>
      </c>
      <c r="C199" s="3" t="s">
        <v>14</v>
      </c>
      <c r="D199" s="3" t="s">
        <v>20</v>
      </c>
      <c r="E199" s="2" t="s">
        <v>93</v>
      </c>
      <c r="F199" s="4">
        <v>6</v>
      </c>
      <c r="G199" s="5">
        <v>0</v>
      </c>
      <c r="H199" s="3" t="str" cm="1">
        <f t="array" ref="H199:J199">_xlfn.XLOOKUP(E199,Catálogo_Productos!$A:$A,Catálogo_Productos!$B:$D,"producto no encontrado")</f>
        <v>Monitor 4K 27"</v>
      </c>
      <c r="I199" s="3" t="str">
        <v>Tecnología</v>
      </c>
      <c r="J199" s="6">
        <v>350</v>
      </c>
      <c r="K199" s="6">
        <f t="shared" si="9"/>
        <v>2100</v>
      </c>
      <c r="L199" s="6">
        <f t="shared" si="10"/>
        <v>2100</v>
      </c>
      <c r="M199" s="19">
        <f t="shared" si="11"/>
        <v>0</v>
      </c>
    </row>
    <row r="200" spans="1:13" x14ac:dyDescent="0.25">
      <c r="A200" s="2" t="s">
        <v>364</v>
      </c>
      <c r="B200" s="2" t="s">
        <v>70</v>
      </c>
      <c r="C200" s="3" t="s">
        <v>27</v>
      </c>
      <c r="D200" s="3" t="s">
        <v>40</v>
      </c>
      <c r="E200" s="2" t="s">
        <v>32</v>
      </c>
      <c r="F200" s="4">
        <v>1</v>
      </c>
      <c r="G200" s="5">
        <v>0</v>
      </c>
      <c r="H200" s="3" t="str" cm="1">
        <f t="array" ref="H200:J200">_xlfn.XLOOKUP(E200,Catálogo_Productos!$A:$A,Catálogo_Productos!$B:$D,"producto no encontrado")</f>
        <v>Mouse Inalámbrico Pro</v>
      </c>
      <c r="I200" s="3" t="str">
        <v>Accesorios</v>
      </c>
      <c r="J200" s="6">
        <v>45</v>
      </c>
      <c r="K200" s="6">
        <f t="shared" si="9"/>
        <v>45</v>
      </c>
      <c r="L200" s="6">
        <f t="shared" si="10"/>
        <v>45</v>
      </c>
      <c r="M200" s="19">
        <f t="shared" si="11"/>
        <v>0</v>
      </c>
    </row>
    <row r="201" spans="1:13" x14ac:dyDescent="0.25">
      <c r="A201" s="2" t="s">
        <v>365</v>
      </c>
      <c r="B201" s="2" t="s">
        <v>366</v>
      </c>
      <c r="C201" s="3" t="s">
        <v>14</v>
      </c>
      <c r="D201" s="3" t="s">
        <v>40</v>
      </c>
      <c r="E201" s="2" t="s">
        <v>57</v>
      </c>
      <c r="F201" s="4">
        <v>7</v>
      </c>
      <c r="G201" s="5">
        <v>0.05</v>
      </c>
      <c r="H201" s="3" t="str" cm="1">
        <f t="array" ref="H201:J201">_xlfn.XLOOKUP(E201,Catálogo_Productos!$A:$A,Catálogo_Productos!$B:$D,"producto no encontrado")</f>
        <v>Escritorio Elevable</v>
      </c>
      <c r="I201" s="3" t="str">
        <v>Mobiliario</v>
      </c>
      <c r="J201" s="6">
        <v>420</v>
      </c>
      <c r="K201" s="6">
        <f t="shared" si="9"/>
        <v>2940</v>
      </c>
      <c r="L201" s="6">
        <f t="shared" si="10"/>
        <v>2793</v>
      </c>
      <c r="M201" s="19">
        <f t="shared" si="11"/>
        <v>147</v>
      </c>
    </row>
    <row r="202" spans="1:13" x14ac:dyDescent="0.25">
      <c r="A202" s="2" t="s">
        <v>367</v>
      </c>
      <c r="B202" s="2" t="s">
        <v>368</v>
      </c>
      <c r="C202" s="3" t="s">
        <v>19</v>
      </c>
      <c r="D202" s="3" t="s">
        <v>20</v>
      </c>
      <c r="E202" s="2" t="s">
        <v>16</v>
      </c>
      <c r="F202" s="4">
        <v>5</v>
      </c>
      <c r="G202" s="5">
        <v>0</v>
      </c>
      <c r="H202" s="3" t="str" cm="1">
        <f t="array" ref="H202:J202">_xlfn.XLOOKUP(E202,Catálogo_Productos!$A:$A,Catálogo_Productos!$B:$D,"producto no encontrado")</f>
        <v>Micrófono USB Studio</v>
      </c>
      <c r="I202" s="3" t="str">
        <v>Audio</v>
      </c>
      <c r="J202" s="6">
        <v>130</v>
      </c>
      <c r="K202" s="6">
        <f t="shared" si="9"/>
        <v>650</v>
      </c>
      <c r="L202" s="6">
        <f t="shared" si="10"/>
        <v>650</v>
      </c>
      <c r="M202" s="19">
        <f t="shared" si="11"/>
        <v>0</v>
      </c>
    </row>
    <row r="203" spans="1:13" x14ac:dyDescent="0.25">
      <c r="A203" s="2" t="s">
        <v>369</v>
      </c>
      <c r="B203" s="2" t="s">
        <v>332</v>
      </c>
      <c r="C203" s="3" t="s">
        <v>43</v>
      </c>
      <c r="D203" s="3" t="s">
        <v>40</v>
      </c>
      <c r="E203" s="2" t="s">
        <v>93</v>
      </c>
      <c r="F203" s="4">
        <v>2</v>
      </c>
      <c r="G203" s="5">
        <v>0</v>
      </c>
      <c r="H203" s="3" t="str" cm="1">
        <f t="array" ref="H203:J203">_xlfn.XLOOKUP(E203,Catálogo_Productos!$A:$A,Catálogo_Productos!$B:$D,"producto no encontrado")</f>
        <v>Monitor 4K 27"</v>
      </c>
      <c r="I203" s="3" t="str">
        <v>Tecnología</v>
      </c>
      <c r="J203" s="6">
        <v>350</v>
      </c>
      <c r="K203" s="6">
        <f t="shared" si="9"/>
        <v>700</v>
      </c>
      <c r="L203" s="6">
        <f t="shared" si="10"/>
        <v>700</v>
      </c>
      <c r="M203" s="19">
        <f t="shared" si="11"/>
        <v>0</v>
      </c>
    </row>
    <row r="204" spans="1:13" x14ac:dyDescent="0.25">
      <c r="A204" s="2" t="s">
        <v>370</v>
      </c>
      <c r="B204" s="2" t="s">
        <v>299</v>
      </c>
      <c r="C204" s="3" t="s">
        <v>19</v>
      </c>
      <c r="D204" s="3" t="s">
        <v>20</v>
      </c>
      <c r="E204" s="2" t="s">
        <v>35</v>
      </c>
      <c r="F204" s="4">
        <v>5</v>
      </c>
      <c r="G204" s="5">
        <v>0</v>
      </c>
      <c r="H204" s="3" t="str" cm="1">
        <f t="array" ref="H204:J204">_xlfn.XLOOKUP(E204,Catálogo_Productos!$A:$A,Catálogo_Productos!$B:$D,"producto no encontrado")</f>
        <v>Audífonos Noise Cancelling</v>
      </c>
      <c r="I204" s="3" t="str">
        <v>Audio</v>
      </c>
      <c r="J204" s="6">
        <v>190</v>
      </c>
      <c r="K204" s="6">
        <f t="shared" si="9"/>
        <v>950</v>
      </c>
      <c r="L204" s="6">
        <f t="shared" si="10"/>
        <v>950</v>
      </c>
      <c r="M204" s="19">
        <f t="shared" si="11"/>
        <v>0</v>
      </c>
    </row>
    <row r="205" spans="1:13" x14ac:dyDescent="0.25">
      <c r="A205" s="2" t="s">
        <v>371</v>
      </c>
      <c r="B205" s="2" t="s">
        <v>157</v>
      </c>
      <c r="C205" s="3" t="s">
        <v>43</v>
      </c>
      <c r="D205" s="3" t="s">
        <v>15</v>
      </c>
      <c r="E205" s="2" t="s">
        <v>60</v>
      </c>
      <c r="F205" s="4">
        <v>7</v>
      </c>
      <c r="G205" s="5">
        <v>0.05</v>
      </c>
      <c r="H205" s="3" t="str" cm="1">
        <f t="array" ref="H205:J205">_xlfn.XLOOKUP(E205,Catálogo_Productos!$A:$A,Catálogo_Productos!$B:$D,"producto no encontrado")</f>
        <v>Teclado Mecánico RGB</v>
      </c>
      <c r="I205" s="3" t="str">
        <v>Accesorios</v>
      </c>
      <c r="J205" s="6">
        <v>85</v>
      </c>
      <c r="K205" s="6">
        <f t="shared" si="9"/>
        <v>595</v>
      </c>
      <c r="L205" s="6">
        <f t="shared" si="10"/>
        <v>565.25</v>
      </c>
      <c r="M205" s="19">
        <f t="shared" si="11"/>
        <v>29.75</v>
      </c>
    </row>
    <row r="206" spans="1:13" x14ac:dyDescent="0.25">
      <c r="A206" s="2" t="s">
        <v>372</v>
      </c>
      <c r="B206" s="2" t="s">
        <v>256</v>
      </c>
      <c r="C206" s="3" t="s">
        <v>43</v>
      </c>
      <c r="D206" s="3" t="s">
        <v>20</v>
      </c>
      <c r="E206" s="2" t="s">
        <v>28</v>
      </c>
      <c r="F206" s="4">
        <v>2</v>
      </c>
      <c r="G206" s="5">
        <v>0</v>
      </c>
      <c r="H206" s="3" t="str" cm="1">
        <f t="array" ref="H206:J206">_xlfn.XLOOKUP(E206,Catálogo_Productos!$A:$A,Catálogo_Productos!$B:$D,"producto no encontrado")</f>
        <v>Laptop Pro 15</v>
      </c>
      <c r="I206" s="3" t="str">
        <v>Tecnología</v>
      </c>
      <c r="J206" s="6">
        <v>1200</v>
      </c>
      <c r="K206" s="6">
        <f t="shared" si="9"/>
        <v>2400</v>
      </c>
      <c r="L206" s="6">
        <f t="shared" si="10"/>
        <v>2400</v>
      </c>
      <c r="M206" s="19">
        <f t="shared" si="11"/>
        <v>0</v>
      </c>
    </row>
    <row r="207" spans="1:13" x14ac:dyDescent="0.25">
      <c r="A207" s="2" t="s">
        <v>373</v>
      </c>
      <c r="B207" s="2" t="s">
        <v>277</v>
      </c>
      <c r="C207" s="3" t="s">
        <v>19</v>
      </c>
      <c r="D207" s="3" t="s">
        <v>20</v>
      </c>
      <c r="E207" s="2" t="s">
        <v>16</v>
      </c>
      <c r="F207" s="4">
        <v>4</v>
      </c>
      <c r="G207" s="5">
        <v>0</v>
      </c>
      <c r="H207" s="3" t="str" cm="1">
        <f t="array" ref="H207:J207">_xlfn.XLOOKUP(E207,Catálogo_Productos!$A:$A,Catálogo_Productos!$B:$D,"producto no encontrado")</f>
        <v>Micrófono USB Studio</v>
      </c>
      <c r="I207" s="3" t="str">
        <v>Audio</v>
      </c>
      <c r="J207" s="6">
        <v>130</v>
      </c>
      <c r="K207" s="6">
        <f t="shared" si="9"/>
        <v>520</v>
      </c>
      <c r="L207" s="6">
        <f t="shared" si="10"/>
        <v>520</v>
      </c>
      <c r="M207" s="19">
        <f t="shared" si="11"/>
        <v>0</v>
      </c>
    </row>
    <row r="208" spans="1:13" x14ac:dyDescent="0.25">
      <c r="A208" s="2" t="s">
        <v>374</v>
      </c>
      <c r="B208" s="2" t="s">
        <v>128</v>
      </c>
      <c r="C208" s="3" t="s">
        <v>27</v>
      </c>
      <c r="D208" s="3" t="s">
        <v>52</v>
      </c>
      <c r="E208" s="2" t="s">
        <v>35</v>
      </c>
      <c r="F208" s="4">
        <v>6</v>
      </c>
      <c r="G208" s="5">
        <v>0</v>
      </c>
      <c r="H208" s="3" t="str" cm="1">
        <f t="array" ref="H208:J208">_xlfn.XLOOKUP(E208,Catálogo_Productos!$A:$A,Catálogo_Productos!$B:$D,"producto no encontrado")</f>
        <v>Audífonos Noise Cancelling</v>
      </c>
      <c r="I208" s="3" t="str">
        <v>Audio</v>
      </c>
      <c r="J208" s="6">
        <v>190</v>
      </c>
      <c r="K208" s="6">
        <f t="shared" si="9"/>
        <v>1140</v>
      </c>
      <c r="L208" s="6">
        <f t="shared" si="10"/>
        <v>1140</v>
      </c>
      <c r="M208" s="19">
        <f t="shared" si="11"/>
        <v>0</v>
      </c>
    </row>
    <row r="209" spans="1:13" x14ac:dyDescent="0.25">
      <c r="A209" s="2" t="s">
        <v>375</v>
      </c>
      <c r="B209" s="2" t="s">
        <v>376</v>
      </c>
      <c r="C209" s="3" t="s">
        <v>23</v>
      </c>
      <c r="D209" s="3" t="s">
        <v>20</v>
      </c>
      <c r="E209" s="2" t="s">
        <v>57</v>
      </c>
      <c r="F209" s="4">
        <v>6</v>
      </c>
      <c r="G209" s="5">
        <v>0</v>
      </c>
      <c r="H209" s="3" t="str" cm="1">
        <f t="array" ref="H209:J209">_xlfn.XLOOKUP(E209,Catálogo_Productos!$A:$A,Catálogo_Productos!$B:$D,"producto no encontrado")</f>
        <v>Escritorio Elevable</v>
      </c>
      <c r="I209" s="3" t="str">
        <v>Mobiliario</v>
      </c>
      <c r="J209" s="6">
        <v>420</v>
      </c>
      <c r="K209" s="6">
        <f t="shared" si="9"/>
        <v>2520</v>
      </c>
      <c r="L209" s="6">
        <f t="shared" si="10"/>
        <v>2520</v>
      </c>
      <c r="M209" s="19">
        <f t="shared" si="11"/>
        <v>0</v>
      </c>
    </row>
    <row r="210" spans="1:13" x14ac:dyDescent="0.25">
      <c r="A210" s="2" t="s">
        <v>377</v>
      </c>
      <c r="B210" s="2" t="s">
        <v>122</v>
      </c>
      <c r="C210" s="3" t="s">
        <v>14</v>
      </c>
      <c r="D210" s="3" t="s">
        <v>52</v>
      </c>
      <c r="E210" s="2" t="s">
        <v>93</v>
      </c>
      <c r="F210" s="4">
        <v>6</v>
      </c>
      <c r="G210" s="5">
        <v>0.05</v>
      </c>
      <c r="H210" s="3" t="str" cm="1">
        <f t="array" ref="H210:J210">_xlfn.XLOOKUP(E210,Catálogo_Productos!$A:$A,Catálogo_Productos!$B:$D,"producto no encontrado")</f>
        <v>Monitor 4K 27"</v>
      </c>
      <c r="I210" s="3" t="str">
        <v>Tecnología</v>
      </c>
      <c r="J210" s="6">
        <v>350</v>
      </c>
      <c r="K210" s="6">
        <f t="shared" si="9"/>
        <v>2100</v>
      </c>
      <c r="L210" s="6">
        <f t="shared" si="10"/>
        <v>1995</v>
      </c>
      <c r="M210" s="19">
        <f t="shared" si="11"/>
        <v>105</v>
      </c>
    </row>
    <row r="211" spans="1:13" x14ac:dyDescent="0.25">
      <c r="A211" s="2" t="s">
        <v>378</v>
      </c>
      <c r="B211" s="2" t="s">
        <v>42</v>
      </c>
      <c r="C211" s="3" t="s">
        <v>31</v>
      </c>
      <c r="D211" s="3" t="s">
        <v>15</v>
      </c>
      <c r="E211" s="2" t="s">
        <v>16</v>
      </c>
      <c r="F211" s="4">
        <v>4</v>
      </c>
      <c r="G211" s="5">
        <v>0</v>
      </c>
      <c r="H211" s="3" t="str" cm="1">
        <f t="array" ref="H211:J211">_xlfn.XLOOKUP(E211,Catálogo_Productos!$A:$A,Catálogo_Productos!$B:$D,"producto no encontrado")</f>
        <v>Micrófono USB Studio</v>
      </c>
      <c r="I211" s="3" t="str">
        <v>Audio</v>
      </c>
      <c r="J211" s="6">
        <v>130</v>
      </c>
      <c r="K211" s="6">
        <f t="shared" si="9"/>
        <v>520</v>
      </c>
      <c r="L211" s="6">
        <f t="shared" si="10"/>
        <v>520</v>
      </c>
      <c r="M211" s="19">
        <f t="shared" si="11"/>
        <v>0</v>
      </c>
    </row>
    <row r="212" spans="1:13" x14ac:dyDescent="0.25">
      <c r="A212" s="2" t="s">
        <v>379</v>
      </c>
      <c r="B212" s="2" t="s">
        <v>380</v>
      </c>
      <c r="C212" s="3" t="s">
        <v>43</v>
      </c>
      <c r="D212" s="3" t="s">
        <v>15</v>
      </c>
      <c r="E212" s="2" t="s">
        <v>24</v>
      </c>
      <c r="F212" s="4">
        <v>7</v>
      </c>
      <c r="G212" s="5">
        <v>0.1</v>
      </c>
      <c r="H212" s="3" t="str" cm="1">
        <f t="array" ref="H212:J212">_xlfn.XLOOKUP(E212,Catálogo_Productos!$A:$A,Catálogo_Productos!$B:$D,"producto no encontrado")</f>
        <v>Silla Ergonómica</v>
      </c>
      <c r="I212" s="3" t="str">
        <v>Mobiliario</v>
      </c>
      <c r="J212" s="6">
        <v>280</v>
      </c>
      <c r="K212" s="6">
        <f t="shared" si="9"/>
        <v>1960</v>
      </c>
      <c r="L212" s="6">
        <f t="shared" si="10"/>
        <v>1764</v>
      </c>
      <c r="M212" s="19">
        <f t="shared" si="11"/>
        <v>196</v>
      </c>
    </row>
    <row r="213" spans="1:13" x14ac:dyDescent="0.25">
      <c r="A213" s="2" t="s">
        <v>381</v>
      </c>
      <c r="B213" s="2" t="s">
        <v>382</v>
      </c>
      <c r="C213" s="3" t="s">
        <v>27</v>
      </c>
      <c r="D213" s="3" t="s">
        <v>40</v>
      </c>
      <c r="E213" s="2" t="s">
        <v>16</v>
      </c>
      <c r="F213" s="4">
        <v>4</v>
      </c>
      <c r="G213" s="5">
        <v>0.05</v>
      </c>
      <c r="H213" s="3" t="str" cm="1">
        <f t="array" ref="H213:J213">_xlfn.XLOOKUP(E213,Catálogo_Productos!$A:$A,Catálogo_Productos!$B:$D,"producto no encontrado")</f>
        <v>Micrófono USB Studio</v>
      </c>
      <c r="I213" s="3" t="str">
        <v>Audio</v>
      </c>
      <c r="J213" s="6">
        <v>130</v>
      </c>
      <c r="K213" s="6">
        <f t="shared" si="9"/>
        <v>520</v>
      </c>
      <c r="L213" s="6">
        <f t="shared" si="10"/>
        <v>494</v>
      </c>
      <c r="M213" s="19">
        <f t="shared" si="11"/>
        <v>26</v>
      </c>
    </row>
    <row r="214" spans="1:13" x14ac:dyDescent="0.25">
      <c r="A214" s="2" t="s">
        <v>383</v>
      </c>
      <c r="B214" s="2" t="s">
        <v>382</v>
      </c>
      <c r="C214" s="3" t="s">
        <v>14</v>
      </c>
      <c r="D214" s="3" t="s">
        <v>40</v>
      </c>
      <c r="E214" s="2" t="s">
        <v>32</v>
      </c>
      <c r="F214" s="4">
        <v>7</v>
      </c>
      <c r="G214" s="5">
        <v>0</v>
      </c>
      <c r="H214" s="3" t="str" cm="1">
        <f t="array" ref="H214:J214">_xlfn.XLOOKUP(E214,Catálogo_Productos!$A:$A,Catálogo_Productos!$B:$D,"producto no encontrado")</f>
        <v>Mouse Inalámbrico Pro</v>
      </c>
      <c r="I214" s="3" t="str">
        <v>Accesorios</v>
      </c>
      <c r="J214" s="6">
        <v>45</v>
      </c>
      <c r="K214" s="6">
        <f t="shared" si="9"/>
        <v>315</v>
      </c>
      <c r="L214" s="6">
        <f t="shared" si="10"/>
        <v>315</v>
      </c>
      <c r="M214" s="19">
        <f t="shared" si="11"/>
        <v>0</v>
      </c>
    </row>
    <row r="215" spans="1:13" x14ac:dyDescent="0.25">
      <c r="A215" s="2" t="s">
        <v>384</v>
      </c>
      <c r="B215" s="2" t="s">
        <v>78</v>
      </c>
      <c r="C215" s="3" t="s">
        <v>14</v>
      </c>
      <c r="D215" s="3" t="s">
        <v>52</v>
      </c>
      <c r="E215" s="2" t="s">
        <v>16</v>
      </c>
      <c r="F215" s="4">
        <v>1</v>
      </c>
      <c r="G215" s="5">
        <v>0.05</v>
      </c>
      <c r="H215" s="3" t="str" cm="1">
        <f t="array" ref="H215:J215">_xlfn.XLOOKUP(E215,Catálogo_Productos!$A:$A,Catálogo_Productos!$B:$D,"producto no encontrado")</f>
        <v>Micrófono USB Studio</v>
      </c>
      <c r="I215" s="3" t="str">
        <v>Audio</v>
      </c>
      <c r="J215" s="6">
        <v>130</v>
      </c>
      <c r="K215" s="6">
        <f t="shared" si="9"/>
        <v>130</v>
      </c>
      <c r="L215" s="6">
        <f t="shared" si="10"/>
        <v>123.5</v>
      </c>
      <c r="M215" s="19">
        <f t="shared" si="11"/>
        <v>6.5</v>
      </c>
    </row>
    <row r="216" spans="1:13" x14ac:dyDescent="0.25">
      <c r="A216" s="2" t="s">
        <v>385</v>
      </c>
      <c r="B216" s="2" t="s">
        <v>386</v>
      </c>
      <c r="C216" s="3" t="s">
        <v>14</v>
      </c>
      <c r="D216" s="3" t="s">
        <v>15</v>
      </c>
      <c r="E216" s="2" t="s">
        <v>60</v>
      </c>
      <c r="F216" s="4">
        <v>7</v>
      </c>
      <c r="G216" s="5">
        <v>0</v>
      </c>
      <c r="H216" s="3" t="str" cm="1">
        <f t="array" ref="H216:J216">_xlfn.XLOOKUP(E216,Catálogo_Productos!$A:$A,Catálogo_Productos!$B:$D,"producto no encontrado")</f>
        <v>Teclado Mecánico RGB</v>
      </c>
      <c r="I216" s="3" t="str">
        <v>Accesorios</v>
      </c>
      <c r="J216" s="6">
        <v>85</v>
      </c>
      <c r="K216" s="6">
        <f t="shared" si="9"/>
        <v>595</v>
      </c>
      <c r="L216" s="6">
        <f t="shared" si="10"/>
        <v>595</v>
      </c>
      <c r="M216" s="19">
        <f t="shared" si="11"/>
        <v>0</v>
      </c>
    </row>
    <row r="217" spans="1:13" x14ac:dyDescent="0.25">
      <c r="A217" s="2" t="s">
        <v>387</v>
      </c>
      <c r="B217" s="2" t="s">
        <v>388</v>
      </c>
      <c r="C217" s="3" t="s">
        <v>43</v>
      </c>
      <c r="D217" s="3" t="s">
        <v>15</v>
      </c>
      <c r="E217" s="2" t="s">
        <v>28</v>
      </c>
      <c r="F217" s="4">
        <v>2</v>
      </c>
      <c r="G217" s="5">
        <v>0</v>
      </c>
      <c r="H217" s="3" t="str" cm="1">
        <f t="array" ref="H217:J217">_xlfn.XLOOKUP(E217,Catálogo_Productos!$A:$A,Catálogo_Productos!$B:$D,"producto no encontrado")</f>
        <v>Laptop Pro 15</v>
      </c>
      <c r="I217" s="3" t="str">
        <v>Tecnología</v>
      </c>
      <c r="J217" s="6">
        <v>1200</v>
      </c>
      <c r="K217" s="6">
        <f t="shared" si="9"/>
        <v>2400</v>
      </c>
      <c r="L217" s="6">
        <f t="shared" si="10"/>
        <v>2400</v>
      </c>
      <c r="M217" s="19">
        <f t="shared" si="11"/>
        <v>0</v>
      </c>
    </row>
    <row r="218" spans="1:13" x14ac:dyDescent="0.25">
      <c r="A218" s="2" t="s">
        <v>389</v>
      </c>
      <c r="B218" s="2" t="s">
        <v>390</v>
      </c>
      <c r="C218" s="3" t="s">
        <v>14</v>
      </c>
      <c r="D218" s="3" t="s">
        <v>20</v>
      </c>
      <c r="E218" s="2" t="s">
        <v>93</v>
      </c>
      <c r="F218" s="4">
        <v>5</v>
      </c>
      <c r="G218" s="5">
        <v>0</v>
      </c>
      <c r="H218" s="3" t="str" cm="1">
        <f t="array" ref="H218:J218">_xlfn.XLOOKUP(E218,Catálogo_Productos!$A:$A,Catálogo_Productos!$B:$D,"producto no encontrado")</f>
        <v>Monitor 4K 27"</v>
      </c>
      <c r="I218" s="3" t="str">
        <v>Tecnología</v>
      </c>
      <c r="J218" s="6">
        <v>350</v>
      </c>
      <c r="K218" s="6">
        <f t="shared" si="9"/>
        <v>1750</v>
      </c>
      <c r="L218" s="6">
        <f t="shared" si="10"/>
        <v>1750</v>
      </c>
      <c r="M218" s="19">
        <f t="shared" si="11"/>
        <v>0</v>
      </c>
    </row>
    <row r="219" spans="1:13" x14ac:dyDescent="0.25">
      <c r="A219" s="2" t="s">
        <v>391</v>
      </c>
      <c r="B219" s="2" t="s">
        <v>380</v>
      </c>
      <c r="C219" s="3" t="s">
        <v>19</v>
      </c>
      <c r="D219" s="3" t="s">
        <v>40</v>
      </c>
      <c r="E219" s="2" t="s">
        <v>93</v>
      </c>
      <c r="F219" s="4">
        <v>2</v>
      </c>
      <c r="G219" s="5">
        <v>0.15</v>
      </c>
      <c r="H219" s="3" t="str" cm="1">
        <f t="array" ref="H219:J219">_xlfn.XLOOKUP(E219,Catálogo_Productos!$A:$A,Catálogo_Productos!$B:$D,"producto no encontrado")</f>
        <v>Monitor 4K 27"</v>
      </c>
      <c r="I219" s="3" t="str">
        <v>Tecnología</v>
      </c>
      <c r="J219" s="6">
        <v>350</v>
      </c>
      <c r="K219" s="6">
        <f t="shared" si="9"/>
        <v>700</v>
      </c>
      <c r="L219" s="6">
        <f t="shared" si="10"/>
        <v>595</v>
      </c>
      <c r="M219" s="19">
        <f t="shared" si="11"/>
        <v>105</v>
      </c>
    </row>
    <row r="220" spans="1:13" x14ac:dyDescent="0.25">
      <c r="A220" s="2" t="s">
        <v>392</v>
      </c>
      <c r="B220" s="2" t="s">
        <v>310</v>
      </c>
      <c r="C220" s="3" t="s">
        <v>27</v>
      </c>
      <c r="D220" s="3" t="s">
        <v>20</v>
      </c>
      <c r="E220" s="2" t="s">
        <v>93</v>
      </c>
      <c r="F220" s="4">
        <v>1</v>
      </c>
      <c r="G220" s="5">
        <v>0</v>
      </c>
      <c r="H220" s="3" t="str" cm="1">
        <f t="array" ref="H220:J220">_xlfn.XLOOKUP(E220,Catálogo_Productos!$A:$A,Catálogo_Productos!$B:$D,"producto no encontrado")</f>
        <v>Monitor 4K 27"</v>
      </c>
      <c r="I220" s="3" t="str">
        <v>Tecnología</v>
      </c>
      <c r="J220" s="6">
        <v>350</v>
      </c>
      <c r="K220" s="6">
        <f t="shared" si="9"/>
        <v>350</v>
      </c>
      <c r="L220" s="6">
        <f t="shared" si="10"/>
        <v>350</v>
      </c>
      <c r="M220" s="19">
        <f t="shared" si="11"/>
        <v>0</v>
      </c>
    </row>
    <row r="221" spans="1:13" x14ac:dyDescent="0.25">
      <c r="A221" s="2" t="s">
        <v>393</v>
      </c>
      <c r="B221" s="2" t="s">
        <v>155</v>
      </c>
      <c r="C221" s="3" t="s">
        <v>43</v>
      </c>
      <c r="D221" s="3" t="s">
        <v>52</v>
      </c>
      <c r="E221" s="2" t="s">
        <v>57</v>
      </c>
      <c r="F221" s="4">
        <v>6</v>
      </c>
      <c r="G221" s="5">
        <v>0</v>
      </c>
      <c r="H221" s="3" t="str" cm="1">
        <f t="array" ref="H221:J221">_xlfn.XLOOKUP(E221,Catálogo_Productos!$A:$A,Catálogo_Productos!$B:$D,"producto no encontrado")</f>
        <v>Escritorio Elevable</v>
      </c>
      <c r="I221" s="3" t="str">
        <v>Mobiliario</v>
      </c>
      <c r="J221" s="6">
        <v>420</v>
      </c>
      <c r="K221" s="6">
        <f t="shared" si="9"/>
        <v>2520</v>
      </c>
      <c r="L221" s="6">
        <f t="shared" si="10"/>
        <v>2520</v>
      </c>
      <c r="M221" s="19">
        <f t="shared" si="11"/>
        <v>0</v>
      </c>
    </row>
    <row r="222" spans="1:13" x14ac:dyDescent="0.25">
      <c r="A222" s="2" t="s">
        <v>394</v>
      </c>
      <c r="B222" s="2" t="s">
        <v>173</v>
      </c>
      <c r="C222" s="3" t="s">
        <v>23</v>
      </c>
      <c r="D222" s="3" t="s">
        <v>40</v>
      </c>
      <c r="E222" s="2" t="s">
        <v>60</v>
      </c>
      <c r="F222" s="4">
        <v>1</v>
      </c>
      <c r="G222" s="5">
        <v>0.1</v>
      </c>
      <c r="H222" s="3" t="str" cm="1">
        <f t="array" ref="H222:J222">_xlfn.XLOOKUP(E222,Catálogo_Productos!$A:$A,Catálogo_Productos!$B:$D,"producto no encontrado")</f>
        <v>Teclado Mecánico RGB</v>
      </c>
      <c r="I222" s="3" t="str">
        <v>Accesorios</v>
      </c>
      <c r="J222" s="6">
        <v>85</v>
      </c>
      <c r="K222" s="6">
        <f t="shared" si="9"/>
        <v>85</v>
      </c>
      <c r="L222" s="6">
        <f t="shared" si="10"/>
        <v>76.5</v>
      </c>
      <c r="M222" s="19">
        <f t="shared" si="11"/>
        <v>8.5</v>
      </c>
    </row>
    <row r="223" spans="1:13" x14ac:dyDescent="0.25">
      <c r="A223" s="2" t="s">
        <v>395</v>
      </c>
      <c r="B223" s="2" t="s">
        <v>396</v>
      </c>
      <c r="C223" s="3" t="s">
        <v>31</v>
      </c>
      <c r="D223" s="3" t="s">
        <v>15</v>
      </c>
      <c r="E223" s="2" t="s">
        <v>32</v>
      </c>
      <c r="F223" s="4">
        <v>1</v>
      </c>
      <c r="G223" s="5">
        <v>0.1</v>
      </c>
      <c r="H223" s="3" t="str" cm="1">
        <f t="array" ref="H223:J223">_xlfn.XLOOKUP(E223,Catálogo_Productos!$A:$A,Catálogo_Productos!$B:$D,"producto no encontrado")</f>
        <v>Mouse Inalámbrico Pro</v>
      </c>
      <c r="I223" s="3" t="str">
        <v>Accesorios</v>
      </c>
      <c r="J223" s="6">
        <v>45</v>
      </c>
      <c r="K223" s="6">
        <f t="shared" si="9"/>
        <v>45</v>
      </c>
      <c r="L223" s="6">
        <f t="shared" si="10"/>
        <v>40.5</v>
      </c>
      <c r="M223" s="19">
        <f t="shared" si="11"/>
        <v>4.5</v>
      </c>
    </row>
    <row r="224" spans="1:13" x14ac:dyDescent="0.25">
      <c r="A224" s="2" t="s">
        <v>397</v>
      </c>
      <c r="B224" s="2" t="s">
        <v>275</v>
      </c>
      <c r="C224" s="3" t="s">
        <v>19</v>
      </c>
      <c r="D224" s="3" t="s">
        <v>40</v>
      </c>
      <c r="E224" s="2" t="s">
        <v>28</v>
      </c>
      <c r="F224" s="4">
        <v>5</v>
      </c>
      <c r="G224" s="5">
        <v>0.1</v>
      </c>
      <c r="H224" s="3" t="str" cm="1">
        <f t="array" ref="H224:J224">_xlfn.XLOOKUP(E224,Catálogo_Productos!$A:$A,Catálogo_Productos!$B:$D,"producto no encontrado")</f>
        <v>Laptop Pro 15</v>
      </c>
      <c r="I224" s="3" t="str">
        <v>Tecnología</v>
      </c>
      <c r="J224" s="6">
        <v>1200</v>
      </c>
      <c r="K224" s="6">
        <f t="shared" si="9"/>
        <v>6000</v>
      </c>
      <c r="L224" s="6">
        <f t="shared" si="10"/>
        <v>5400</v>
      </c>
      <c r="M224" s="19">
        <f t="shared" si="11"/>
        <v>600</v>
      </c>
    </row>
    <row r="225" spans="1:13" x14ac:dyDescent="0.25">
      <c r="A225" s="2" t="s">
        <v>398</v>
      </c>
      <c r="B225" s="2" t="s">
        <v>399</v>
      </c>
      <c r="C225" s="3" t="s">
        <v>27</v>
      </c>
      <c r="D225" s="3" t="s">
        <v>52</v>
      </c>
      <c r="E225" s="2" t="s">
        <v>57</v>
      </c>
      <c r="F225" s="4">
        <v>3</v>
      </c>
      <c r="G225" s="5">
        <v>0</v>
      </c>
      <c r="H225" s="3" t="str" cm="1">
        <f t="array" ref="H225:J225">_xlfn.XLOOKUP(E225,Catálogo_Productos!$A:$A,Catálogo_Productos!$B:$D,"producto no encontrado")</f>
        <v>Escritorio Elevable</v>
      </c>
      <c r="I225" s="3" t="str">
        <v>Mobiliario</v>
      </c>
      <c r="J225" s="6">
        <v>420</v>
      </c>
      <c r="K225" s="6">
        <f t="shared" si="9"/>
        <v>1260</v>
      </c>
      <c r="L225" s="6">
        <f t="shared" si="10"/>
        <v>1260</v>
      </c>
      <c r="M225" s="19">
        <f t="shared" si="11"/>
        <v>0</v>
      </c>
    </row>
    <row r="226" spans="1:13" x14ac:dyDescent="0.25">
      <c r="A226" s="2" t="s">
        <v>400</v>
      </c>
      <c r="B226" s="2" t="s">
        <v>401</v>
      </c>
      <c r="C226" s="3" t="s">
        <v>19</v>
      </c>
      <c r="D226" s="3" t="s">
        <v>20</v>
      </c>
      <c r="E226" s="2" t="s">
        <v>93</v>
      </c>
      <c r="F226" s="4">
        <v>5</v>
      </c>
      <c r="G226" s="5">
        <v>0</v>
      </c>
      <c r="H226" s="3" t="str" cm="1">
        <f t="array" ref="H226:J226">_xlfn.XLOOKUP(E226,Catálogo_Productos!$A:$A,Catálogo_Productos!$B:$D,"producto no encontrado")</f>
        <v>Monitor 4K 27"</v>
      </c>
      <c r="I226" s="3" t="str">
        <v>Tecnología</v>
      </c>
      <c r="J226" s="6">
        <v>350</v>
      </c>
      <c r="K226" s="6">
        <f t="shared" si="9"/>
        <v>1750</v>
      </c>
      <c r="L226" s="6">
        <f t="shared" si="10"/>
        <v>1750</v>
      </c>
      <c r="M226" s="19">
        <f t="shared" si="11"/>
        <v>0</v>
      </c>
    </row>
    <row r="227" spans="1:13" x14ac:dyDescent="0.25">
      <c r="A227" s="2" t="s">
        <v>402</v>
      </c>
      <c r="B227" s="2" t="s">
        <v>403</v>
      </c>
      <c r="C227" s="3" t="s">
        <v>27</v>
      </c>
      <c r="D227" s="3" t="s">
        <v>15</v>
      </c>
      <c r="E227" s="2" t="s">
        <v>16</v>
      </c>
      <c r="F227" s="4">
        <v>1</v>
      </c>
      <c r="G227" s="5">
        <v>0.05</v>
      </c>
      <c r="H227" s="3" t="str" cm="1">
        <f t="array" ref="H227:J227">_xlfn.XLOOKUP(E227,Catálogo_Productos!$A:$A,Catálogo_Productos!$B:$D,"producto no encontrado")</f>
        <v>Micrófono USB Studio</v>
      </c>
      <c r="I227" s="3" t="str">
        <v>Audio</v>
      </c>
      <c r="J227" s="6">
        <v>130</v>
      </c>
      <c r="K227" s="6">
        <f t="shared" si="9"/>
        <v>130</v>
      </c>
      <c r="L227" s="6">
        <f t="shared" si="10"/>
        <v>123.5</v>
      </c>
      <c r="M227" s="19">
        <f t="shared" si="11"/>
        <v>6.5</v>
      </c>
    </row>
    <row r="228" spans="1:13" x14ac:dyDescent="0.25">
      <c r="A228" s="2" t="s">
        <v>404</v>
      </c>
      <c r="B228" s="2" t="s">
        <v>328</v>
      </c>
      <c r="C228" s="3" t="s">
        <v>43</v>
      </c>
      <c r="D228" s="3" t="s">
        <v>15</v>
      </c>
      <c r="E228" s="2" t="s">
        <v>93</v>
      </c>
      <c r="F228" s="4">
        <v>6</v>
      </c>
      <c r="G228" s="5">
        <v>0.15</v>
      </c>
      <c r="H228" s="3" t="str" cm="1">
        <f t="array" ref="H228:J228">_xlfn.XLOOKUP(E228,Catálogo_Productos!$A:$A,Catálogo_Productos!$B:$D,"producto no encontrado")</f>
        <v>Monitor 4K 27"</v>
      </c>
      <c r="I228" s="3" t="str">
        <v>Tecnología</v>
      </c>
      <c r="J228" s="6">
        <v>350</v>
      </c>
      <c r="K228" s="6">
        <f t="shared" si="9"/>
        <v>2100</v>
      </c>
      <c r="L228" s="6">
        <f t="shared" si="10"/>
        <v>1785</v>
      </c>
      <c r="M228" s="19">
        <f t="shared" si="11"/>
        <v>315</v>
      </c>
    </row>
    <row r="229" spans="1:13" x14ac:dyDescent="0.25">
      <c r="A229" s="2" t="s">
        <v>405</v>
      </c>
      <c r="B229" s="2" t="s">
        <v>334</v>
      </c>
      <c r="C229" s="3" t="s">
        <v>31</v>
      </c>
      <c r="D229" s="3" t="s">
        <v>20</v>
      </c>
      <c r="E229" s="2" t="s">
        <v>60</v>
      </c>
      <c r="F229" s="4">
        <v>6</v>
      </c>
      <c r="G229" s="5">
        <v>0</v>
      </c>
      <c r="H229" s="3" t="str" cm="1">
        <f t="array" ref="H229:J229">_xlfn.XLOOKUP(E229,Catálogo_Productos!$A:$A,Catálogo_Productos!$B:$D,"producto no encontrado")</f>
        <v>Teclado Mecánico RGB</v>
      </c>
      <c r="I229" s="3" t="str">
        <v>Accesorios</v>
      </c>
      <c r="J229" s="6">
        <v>85</v>
      </c>
      <c r="K229" s="6">
        <f t="shared" si="9"/>
        <v>510</v>
      </c>
      <c r="L229" s="6">
        <f t="shared" si="10"/>
        <v>510</v>
      </c>
      <c r="M229" s="19">
        <f t="shared" si="11"/>
        <v>0</v>
      </c>
    </row>
    <row r="230" spans="1:13" x14ac:dyDescent="0.25">
      <c r="A230" s="2" t="s">
        <v>406</v>
      </c>
      <c r="B230" s="2" t="s">
        <v>407</v>
      </c>
      <c r="C230" s="3" t="s">
        <v>14</v>
      </c>
      <c r="D230" s="3" t="s">
        <v>15</v>
      </c>
      <c r="E230" s="2" t="s">
        <v>35</v>
      </c>
      <c r="F230" s="4">
        <v>5</v>
      </c>
      <c r="G230" s="5">
        <v>0.1</v>
      </c>
      <c r="H230" s="3" t="str" cm="1">
        <f t="array" ref="H230:J230">_xlfn.XLOOKUP(E230,Catálogo_Productos!$A:$A,Catálogo_Productos!$B:$D,"producto no encontrado")</f>
        <v>Audífonos Noise Cancelling</v>
      </c>
      <c r="I230" s="3" t="str">
        <v>Audio</v>
      </c>
      <c r="J230" s="6">
        <v>190</v>
      </c>
      <c r="K230" s="6">
        <f t="shared" si="9"/>
        <v>950</v>
      </c>
      <c r="L230" s="6">
        <f t="shared" si="10"/>
        <v>855</v>
      </c>
      <c r="M230" s="19">
        <f t="shared" si="11"/>
        <v>95</v>
      </c>
    </row>
    <row r="231" spans="1:13" x14ac:dyDescent="0.25">
      <c r="A231" s="2" t="s">
        <v>408</v>
      </c>
      <c r="B231" s="2" t="s">
        <v>136</v>
      </c>
      <c r="C231" s="3" t="s">
        <v>27</v>
      </c>
      <c r="D231" s="3" t="s">
        <v>20</v>
      </c>
      <c r="E231" s="2" t="s">
        <v>60</v>
      </c>
      <c r="F231" s="4">
        <v>7</v>
      </c>
      <c r="G231" s="5">
        <v>0</v>
      </c>
      <c r="H231" s="3" t="str" cm="1">
        <f t="array" ref="H231:J231">_xlfn.XLOOKUP(E231,Catálogo_Productos!$A:$A,Catálogo_Productos!$B:$D,"producto no encontrado")</f>
        <v>Teclado Mecánico RGB</v>
      </c>
      <c r="I231" s="3" t="str">
        <v>Accesorios</v>
      </c>
      <c r="J231" s="6">
        <v>85</v>
      </c>
      <c r="K231" s="6">
        <f t="shared" si="9"/>
        <v>595</v>
      </c>
      <c r="L231" s="6">
        <f t="shared" si="10"/>
        <v>595</v>
      </c>
      <c r="M231" s="19">
        <f t="shared" si="11"/>
        <v>0</v>
      </c>
    </row>
    <row r="232" spans="1:13" x14ac:dyDescent="0.25">
      <c r="A232" s="2" t="s">
        <v>409</v>
      </c>
      <c r="B232" s="2" t="s">
        <v>366</v>
      </c>
      <c r="C232" s="3" t="s">
        <v>23</v>
      </c>
      <c r="D232" s="3" t="s">
        <v>40</v>
      </c>
      <c r="E232" s="2" t="s">
        <v>16</v>
      </c>
      <c r="F232" s="4">
        <v>7</v>
      </c>
      <c r="G232" s="5">
        <v>0</v>
      </c>
      <c r="H232" s="3" t="str" cm="1">
        <f t="array" ref="H232:J232">_xlfn.XLOOKUP(E232,Catálogo_Productos!$A:$A,Catálogo_Productos!$B:$D,"producto no encontrado")</f>
        <v>Micrófono USB Studio</v>
      </c>
      <c r="I232" s="3" t="str">
        <v>Audio</v>
      </c>
      <c r="J232" s="6">
        <v>130</v>
      </c>
      <c r="K232" s="6">
        <f t="shared" si="9"/>
        <v>910</v>
      </c>
      <c r="L232" s="6">
        <f t="shared" si="10"/>
        <v>910</v>
      </c>
      <c r="M232" s="19">
        <f t="shared" si="11"/>
        <v>0</v>
      </c>
    </row>
    <row r="233" spans="1:13" x14ac:dyDescent="0.25">
      <c r="A233" s="2" t="s">
        <v>410</v>
      </c>
      <c r="B233" s="2" t="s">
        <v>303</v>
      </c>
      <c r="C233" s="3" t="s">
        <v>43</v>
      </c>
      <c r="D233" s="3" t="s">
        <v>20</v>
      </c>
      <c r="E233" s="2" t="s">
        <v>35</v>
      </c>
      <c r="F233" s="4">
        <v>1</v>
      </c>
      <c r="G233" s="5">
        <v>0</v>
      </c>
      <c r="H233" s="3" t="str" cm="1">
        <f t="array" ref="H233:J233">_xlfn.XLOOKUP(E233,Catálogo_Productos!$A:$A,Catálogo_Productos!$B:$D,"producto no encontrado")</f>
        <v>Audífonos Noise Cancelling</v>
      </c>
      <c r="I233" s="3" t="str">
        <v>Audio</v>
      </c>
      <c r="J233" s="6">
        <v>190</v>
      </c>
      <c r="K233" s="6">
        <f t="shared" si="9"/>
        <v>190</v>
      </c>
      <c r="L233" s="6">
        <f t="shared" si="10"/>
        <v>190</v>
      </c>
      <c r="M233" s="19">
        <f t="shared" si="11"/>
        <v>0</v>
      </c>
    </row>
    <row r="234" spans="1:13" x14ac:dyDescent="0.25">
      <c r="A234" s="2" t="s">
        <v>411</v>
      </c>
      <c r="B234" s="2" t="s">
        <v>287</v>
      </c>
      <c r="C234" s="3" t="s">
        <v>43</v>
      </c>
      <c r="D234" s="3" t="s">
        <v>52</v>
      </c>
      <c r="E234" s="2" t="s">
        <v>16</v>
      </c>
      <c r="F234" s="4">
        <v>7</v>
      </c>
      <c r="G234" s="5">
        <v>0</v>
      </c>
      <c r="H234" s="3" t="str" cm="1">
        <f t="array" ref="H234:J234">_xlfn.XLOOKUP(E234,Catálogo_Productos!$A:$A,Catálogo_Productos!$B:$D,"producto no encontrado")</f>
        <v>Micrófono USB Studio</v>
      </c>
      <c r="I234" s="3" t="str">
        <v>Audio</v>
      </c>
      <c r="J234" s="6">
        <v>130</v>
      </c>
      <c r="K234" s="6">
        <f t="shared" si="9"/>
        <v>910</v>
      </c>
      <c r="L234" s="6">
        <f t="shared" si="10"/>
        <v>910</v>
      </c>
      <c r="M234" s="19">
        <f t="shared" si="11"/>
        <v>0</v>
      </c>
    </row>
    <row r="235" spans="1:13" x14ac:dyDescent="0.25">
      <c r="A235" s="2" t="s">
        <v>412</v>
      </c>
      <c r="B235" s="2" t="s">
        <v>209</v>
      </c>
      <c r="C235" s="3" t="s">
        <v>31</v>
      </c>
      <c r="D235" s="3" t="s">
        <v>15</v>
      </c>
      <c r="E235" s="2" t="s">
        <v>35</v>
      </c>
      <c r="F235" s="4">
        <v>2</v>
      </c>
      <c r="G235" s="5">
        <v>0</v>
      </c>
      <c r="H235" s="3" t="str" cm="1">
        <f t="array" ref="H235:J235">_xlfn.XLOOKUP(E235,Catálogo_Productos!$A:$A,Catálogo_Productos!$B:$D,"producto no encontrado")</f>
        <v>Audífonos Noise Cancelling</v>
      </c>
      <c r="I235" s="3" t="str">
        <v>Audio</v>
      </c>
      <c r="J235" s="6">
        <v>190</v>
      </c>
      <c r="K235" s="6">
        <f t="shared" si="9"/>
        <v>380</v>
      </c>
      <c r="L235" s="6">
        <f t="shared" si="10"/>
        <v>380</v>
      </c>
      <c r="M235" s="19">
        <f t="shared" si="11"/>
        <v>0</v>
      </c>
    </row>
    <row r="236" spans="1:13" x14ac:dyDescent="0.25">
      <c r="A236" s="2" t="s">
        <v>413</v>
      </c>
      <c r="B236" s="2" t="s">
        <v>163</v>
      </c>
      <c r="C236" s="3" t="s">
        <v>14</v>
      </c>
      <c r="D236" s="3" t="s">
        <v>15</v>
      </c>
      <c r="E236" s="2" t="s">
        <v>32</v>
      </c>
      <c r="F236" s="4">
        <v>4</v>
      </c>
      <c r="G236" s="5">
        <v>0.1</v>
      </c>
      <c r="H236" s="3" t="str" cm="1">
        <f t="array" ref="H236:J236">_xlfn.XLOOKUP(E236,Catálogo_Productos!$A:$A,Catálogo_Productos!$B:$D,"producto no encontrado")</f>
        <v>Mouse Inalámbrico Pro</v>
      </c>
      <c r="I236" s="3" t="str">
        <v>Accesorios</v>
      </c>
      <c r="J236" s="6">
        <v>45</v>
      </c>
      <c r="K236" s="6">
        <f t="shared" si="9"/>
        <v>180</v>
      </c>
      <c r="L236" s="6">
        <f t="shared" si="10"/>
        <v>162</v>
      </c>
      <c r="M236" s="19">
        <f t="shared" si="11"/>
        <v>18</v>
      </c>
    </row>
    <row r="237" spans="1:13" x14ac:dyDescent="0.25">
      <c r="A237" s="2" t="s">
        <v>414</v>
      </c>
      <c r="B237" s="2" t="s">
        <v>415</v>
      </c>
      <c r="C237" s="3" t="s">
        <v>14</v>
      </c>
      <c r="D237" s="3" t="s">
        <v>40</v>
      </c>
      <c r="E237" s="2" t="s">
        <v>57</v>
      </c>
      <c r="F237" s="4">
        <v>6</v>
      </c>
      <c r="G237" s="5">
        <v>0.05</v>
      </c>
      <c r="H237" s="3" t="str" cm="1">
        <f t="array" ref="H237:J237">_xlfn.XLOOKUP(E237,Catálogo_Productos!$A:$A,Catálogo_Productos!$B:$D,"producto no encontrado")</f>
        <v>Escritorio Elevable</v>
      </c>
      <c r="I237" s="3" t="str">
        <v>Mobiliario</v>
      </c>
      <c r="J237" s="6">
        <v>420</v>
      </c>
      <c r="K237" s="6">
        <f t="shared" si="9"/>
        <v>2520</v>
      </c>
      <c r="L237" s="6">
        <f t="shared" si="10"/>
        <v>2394</v>
      </c>
      <c r="M237" s="19">
        <f t="shared" si="11"/>
        <v>126</v>
      </c>
    </row>
    <row r="238" spans="1:13" x14ac:dyDescent="0.25">
      <c r="A238" s="2" t="s">
        <v>416</v>
      </c>
      <c r="B238" s="2" t="s">
        <v>417</v>
      </c>
      <c r="C238" s="3" t="s">
        <v>27</v>
      </c>
      <c r="D238" s="3" t="s">
        <v>40</v>
      </c>
      <c r="E238" s="2" t="s">
        <v>57</v>
      </c>
      <c r="F238" s="4">
        <v>1</v>
      </c>
      <c r="G238" s="5">
        <v>0</v>
      </c>
      <c r="H238" s="3" t="str" cm="1">
        <f t="array" ref="H238:J238">_xlfn.XLOOKUP(E238,Catálogo_Productos!$A:$A,Catálogo_Productos!$B:$D,"producto no encontrado")</f>
        <v>Escritorio Elevable</v>
      </c>
      <c r="I238" s="3" t="str">
        <v>Mobiliario</v>
      </c>
      <c r="J238" s="6">
        <v>420</v>
      </c>
      <c r="K238" s="6">
        <f t="shared" si="9"/>
        <v>420</v>
      </c>
      <c r="L238" s="6">
        <f t="shared" si="10"/>
        <v>420</v>
      </c>
      <c r="M238" s="19">
        <f t="shared" si="11"/>
        <v>0</v>
      </c>
    </row>
    <row r="239" spans="1:13" x14ac:dyDescent="0.25">
      <c r="A239" s="2" t="s">
        <v>418</v>
      </c>
      <c r="B239" s="2" t="s">
        <v>139</v>
      </c>
      <c r="C239" s="3" t="s">
        <v>27</v>
      </c>
      <c r="D239" s="3" t="s">
        <v>40</v>
      </c>
      <c r="E239" s="2" t="s">
        <v>16</v>
      </c>
      <c r="F239" s="4">
        <v>5</v>
      </c>
      <c r="G239" s="5">
        <v>0.05</v>
      </c>
      <c r="H239" s="3" t="str" cm="1">
        <f t="array" ref="H239:J239">_xlfn.XLOOKUP(E239,Catálogo_Productos!$A:$A,Catálogo_Productos!$B:$D,"producto no encontrado")</f>
        <v>Micrófono USB Studio</v>
      </c>
      <c r="I239" s="3" t="str">
        <v>Audio</v>
      </c>
      <c r="J239" s="6">
        <v>130</v>
      </c>
      <c r="K239" s="6">
        <f t="shared" si="9"/>
        <v>650</v>
      </c>
      <c r="L239" s="6">
        <f t="shared" si="10"/>
        <v>617.5</v>
      </c>
      <c r="M239" s="19">
        <f t="shared" si="11"/>
        <v>32.5</v>
      </c>
    </row>
    <row r="240" spans="1:13" x14ac:dyDescent="0.25">
      <c r="A240" s="2" t="s">
        <v>419</v>
      </c>
      <c r="B240" s="2" t="s">
        <v>420</v>
      </c>
      <c r="C240" s="3" t="s">
        <v>19</v>
      </c>
      <c r="D240" s="3" t="s">
        <v>15</v>
      </c>
      <c r="E240" s="2" t="s">
        <v>57</v>
      </c>
      <c r="F240" s="4">
        <v>3</v>
      </c>
      <c r="G240" s="5">
        <v>0</v>
      </c>
      <c r="H240" s="3" t="str" cm="1">
        <f t="array" ref="H240:J240">_xlfn.XLOOKUP(E240,Catálogo_Productos!$A:$A,Catálogo_Productos!$B:$D,"producto no encontrado")</f>
        <v>Escritorio Elevable</v>
      </c>
      <c r="I240" s="3" t="str">
        <v>Mobiliario</v>
      </c>
      <c r="J240" s="6">
        <v>420</v>
      </c>
      <c r="K240" s="6">
        <f t="shared" si="9"/>
        <v>1260</v>
      </c>
      <c r="L240" s="6">
        <f t="shared" si="10"/>
        <v>1260</v>
      </c>
      <c r="M240" s="19">
        <f t="shared" si="11"/>
        <v>0</v>
      </c>
    </row>
    <row r="241" spans="1:13" x14ac:dyDescent="0.25">
      <c r="A241" s="2" t="s">
        <v>421</v>
      </c>
      <c r="B241" s="2" t="s">
        <v>422</v>
      </c>
      <c r="C241" s="3" t="s">
        <v>14</v>
      </c>
      <c r="D241" s="3" t="s">
        <v>40</v>
      </c>
      <c r="E241" s="2" t="s">
        <v>57</v>
      </c>
      <c r="F241" s="4">
        <v>6</v>
      </c>
      <c r="G241" s="5">
        <v>0</v>
      </c>
      <c r="H241" s="3" t="str" cm="1">
        <f t="array" ref="H241:J241">_xlfn.XLOOKUP(E241,Catálogo_Productos!$A:$A,Catálogo_Productos!$B:$D,"producto no encontrado")</f>
        <v>Escritorio Elevable</v>
      </c>
      <c r="I241" s="3" t="str">
        <v>Mobiliario</v>
      </c>
      <c r="J241" s="6">
        <v>420</v>
      </c>
      <c r="K241" s="6">
        <f t="shared" si="9"/>
        <v>2520</v>
      </c>
      <c r="L241" s="6">
        <f t="shared" si="10"/>
        <v>2520</v>
      </c>
      <c r="M241" s="19">
        <f t="shared" si="11"/>
        <v>0</v>
      </c>
    </row>
    <row r="242" spans="1:13" x14ac:dyDescent="0.25">
      <c r="A242" s="2" t="s">
        <v>423</v>
      </c>
      <c r="B242" s="2" t="s">
        <v>110</v>
      </c>
      <c r="C242" s="3" t="s">
        <v>14</v>
      </c>
      <c r="D242" s="3" t="s">
        <v>20</v>
      </c>
      <c r="E242" s="2" t="s">
        <v>60</v>
      </c>
      <c r="F242" s="4">
        <v>5</v>
      </c>
      <c r="G242" s="5">
        <v>0.05</v>
      </c>
      <c r="H242" s="3" t="str" cm="1">
        <f t="array" ref="H242:J242">_xlfn.XLOOKUP(E242,Catálogo_Productos!$A:$A,Catálogo_Productos!$B:$D,"producto no encontrado")</f>
        <v>Teclado Mecánico RGB</v>
      </c>
      <c r="I242" s="3" t="str">
        <v>Accesorios</v>
      </c>
      <c r="J242" s="6">
        <v>85</v>
      </c>
      <c r="K242" s="6">
        <f t="shared" si="9"/>
        <v>425</v>
      </c>
      <c r="L242" s="6">
        <f t="shared" si="10"/>
        <v>403.75</v>
      </c>
      <c r="M242" s="19">
        <f t="shared" si="11"/>
        <v>21.25</v>
      </c>
    </row>
    <row r="243" spans="1:13" x14ac:dyDescent="0.25">
      <c r="A243" s="2" t="s">
        <v>424</v>
      </c>
      <c r="B243" s="2" t="s">
        <v>425</v>
      </c>
      <c r="C243" s="3" t="s">
        <v>27</v>
      </c>
      <c r="D243" s="3" t="s">
        <v>20</v>
      </c>
      <c r="E243" s="2" t="s">
        <v>57</v>
      </c>
      <c r="F243" s="4">
        <v>3</v>
      </c>
      <c r="G243" s="5">
        <v>0</v>
      </c>
      <c r="H243" s="3" t="str" cm="1">
        <f t="array" ref="H243:J243">_xlfn.XLOOKUP(E243,Catálogo_Productos!$A:$A,Catálogo_Productos!$B:$D,"producto no encontrado")</f>
        <v>Escritorio Elevable</v>
      </c>
      <c r="I243" s="3" t="str">
        <v>Mobiliario</v>
      </c>
      <c r="J243" s="6">
        <v>420</v>
      </c>
      <c r="K243" s="6">
        <f t="shared" si="9"/>
        <v>1260</v>
      </c>
      <c r="L243" s="6">
        <f t="shared" si="10"/>
        <v>1260</v>
      </c>
      <c r="M243" s="19">
        <f t="shared" si="11"/>
        <v>0</v>
      </c>
    </row>
    <row r="244" spans="1:13" x14ac:dyDescent="0.25">
      <c r="A244" s="2" t="s">
        <v>426</v>
      </c>
      <c r="B244" s="2" t="s">
        <v>263</v>
      </c>
      <c r="C244" s="3" t="s">
        <v>19</v>
      </c>
      <c r="D244" s="3" t="s">
        <v>15</v>
      </c>
      <c r="E244" s="2" t="s">
        <v>57</v>
      </c>
      <c r="F244" s="4">
        <v>3</v>
      </c>
      <c r="G244" s="5">
        <v>0</v>
      </c>
      <c r="H244" s="3" t="str" cm="1">
        <f t="array" ref="H244:J244">_xlfn.XLOOKUP(E244,Catálogo_Productos!$A:$A,Catálogo_Productos!$B:$D,"producto no encontrado")</f>
        <v>Escritorio Elevable</v>
      </c>
      <c r="I244" s="3" t="str">
        <v>Mobiliario</v>
      </c>
      <c r="J244" s="6">
        <v>420</v>
      </c>
      <c r="K244" s="6">
        <f t="shared" si="9"/>
        <v>1260</v>
      </c>
      <c r="L244" s="6">
        <f t="shared" si="10"/>
        <v>1260</v>
      </c>
      <c r="M244" s="19">
        <f t="shared" si="11"/>
        <v>0</v>
      </c>
    </row>
    <row r="245" spans="1:13" x14ac:dyDescent="0.25">
      <c r="A245" s="2" t="s">
        <v>427</v>
      </c>
      <c r="B245" s="2" t="s">
        <v>428</v>
      </c>
      <c r="C245" s="3" t="s">
        <v>14</v>
      </c>
      <c r="D245" s="3" t="s">
        <v>15</v>
      </c>
      <c r="E245" s="2" t="s">
        <v>93</v>
      </c>
      <c r="F245" s="4">
        <v>5</v>
      </c>
      <c r="G245" s="5">
        <v>0.05</v>
      </c>
      <c r="H245" s="3" t="str" cm="1">
        <f t="array" ref="H245:J245">_xlfn.XLOOKUP(E245,Catálogo_Productos!$A:$A,Catálogo_Productos!$B:$D,"producto no encontrado")</f>
        <v>Monitor 4K 27"</v>
      </c>
      <c r="I245" s="3" t="str">
        <v>Tecnología</v>
      </c>
      <c r="J245" s="6">
        <v>350</v>
      </c>
      <c r="K245" s="6">
        <f t="shared" si="9"/>
        <v>1750</v>
      </c>
      <c r="L245" s="6">
        <f t="shared" si="10"/>
        <v>1662.5</v>
      </c>
      <c r="M245" s="19">
        <f t="shared" si="11"/>
        <v>87.5</v>
      </c>
    </row>
    <row r="246" spans="1:13" x14ac:dyDescent="0.25">
      <c r="A246" s="2" t="s">
        <v>429</v>
      </c>
      <c r="B246" s="2" t="s">
        <v>382</v>
      </c>
      <c r="C246" s="3" t="s">
        <v>43</v>
      </c>
      <c r="D246" s="3" t="s">
        <v>40</v>
      </c>
      <c r="E246" s="2" t="s">
        <v>32</v>
      </c>
      <c r="F246" s="4">
        <v>4</v>
      </c>
      <c r="G246" s="5">
        <v>0</v>
      </c>
      <c r="H246" s="3" t="str" cm="1">
        <f t="array" ref="H246:J246">_xlfn.XLOOKUP(E246,Catálogo_Productos!$A:$A,Catálogo_Productos!$B:$D,"producto no encontrado")</f>
        <v>Mouse Inalámbrico Pro</v>
      </c>
      <c r="I246" s="3" t="str">
        <v>Accesorios</v>
      </c>
      <c r="J246" s="6">
        <v>45</v>
      </c>
      <c r="K246" s="6">
        <f t="shared" si="9"/>
        <v>180</v>
      </c>
      <c r="L246" s="6">
        <f t="shared" si="10"/>
        <v>180</v>
      </c>
      <c r="M246" s="19">
        <f t="shared" si="11"/>
        <v>0</v>
      </c>
    </row>
    <row r="247" spans="1:13" x14ac:dyDescent="0.25">
      <c r="A247" s="2" t="s">
        <v>430</v>
      </c>
      <c r="B247" s="2" t="s">
        <v>314</v>
      </c>
      <c r="C247" s="3" t="s">
        <v>27</v>
      </c>
      <c r="D247" s="3" t="s">
        <v>40</v>
      </c>
      <c r="E247" s="2" t="s">
        <v>60</v>
      </c>
      <c r="F247" s="4">
        <v>4</v>
      </c>
      <c r="G247" s="5">
        <v>0.05</v>
      </c>
      <c r="H247" s="3" t="str" cm="1">
        <f t="array" ref="H247:J247">_xlfn.XLOOKUP(E247,Catálogo_Productos!$A:$A,Catálogo_Productos!$B:$D,"producto no encontrado")</f>
        <v>Teclado Mecánico RGB</v>
      </c>
      <c r="I247" s="3" t="str">
        <v>Accesorios</v>
      </c>
      <c r="J247" s="6">
        <v>85</v>
      </c>
      <c r="K247" s="6">
        <f t="shared" si="9"/>
        <v>340</v>
      </c>
      <c r="L247" s="6">
        <f t="shared" si="10"/>
        <v>323</v>
      </c>
      <c r="M247" s="19">
        <f t="shared" si="11"/>
        <v>17</v>
      </c>
    </row>
    <row r="248" spans="1:13" x14ac:dyDescent="0.25">
      <c r="A248" s="2" t="s">
        <v>431</v>
      </c>
      <c r="B248" s="2" t="s">
        <v>37</v>
      </c>
      <c r="C248" s="3" t="s">
        <v>43</v>
      </c>
      <c r="D248" s="3" t="s">
        <v>15</v>
      </c>
      <c r="E248" s="2" t="s">
        <v>32</v>
      </c>
      <c r="F248" s="4">
        <v>6</v>
      </c>
      <c r="G248" s="5">
        <v>0.05</v>
      </c>
      <c r="H248" s="3" t="str" cm="1">
        <f t="array" ref="H248:J248">_xlfn.XLOOKUP(E248,Catálogo_Productos!$A:$A,Catálogo_Productos!$B:$D,"producto no encontrado")</f>
        <v>Mouse Inalámbrico Pro</v>
      </c>
      <c r="I248" s="3" t="str">
        <v>Accesorios</v>
      </c>
      <c r="J248" s="6">
        <v>45</v>
      </c>
      <c r="K248" s="6">
        <f t="shared" si="9"/>
        <v>270</v>
      </c>
      <c r="L248" s="6">
        <f t="shared" si="10"/>
        <v>256.5</v>
      </c>
      <c r="M248" s="19">
        <f t="shared" si="11"/>
        <v>13.5</v>
      </c>
    </row>
    <row r="249" spans="1:13" x14ac:dyDescent="0.25">
      <c r="A249" s="2" t="s">
        <v>432</v>
      </c>
      <c r="B249" s="2" t="s">
        <v>299</v>
      </c>
      <c r="C249" s="3" t="s">
        <v>19</v>
      </c>
      <c r="D249" s="3" t="s">
        <v>40</v>
      </c>
      <c r="E249" s="2" t="s">
        <v>28</v>
      </c>
      <c r="F249" s="4">
        <v>3</v>
      </c>
      <c r="G249" s="5">
        <v>0.05</v>
      </c>
      <c r="H249" s="3" t="str" cm="1">
        <f t="array" ref="H249:J249">_xlfn.XLOOKUP(E249,Catálogo_Productos!$A:$A,Catálogo_Productos!$B:$D,"producto no encontrado")</f>
        <v>Laptop Pro 15</v>
      </c>
      <c r="I249" s="3" t="str">
        <v>Tecnología</v>
      </c>
      <c r="J249" s="6">
        <v>1200</v>
      </c>
      <c r="K249" s="6">
        <f t="shared" si="9"/>
        <v>3600</v>
      </c>
      <c r="L249" s="6">
        <f t="shared" si="10"/>
        <v>3420</v>
      </c>
      <c r="M249" s="19">
        <f t="shared" si="11"/>
        <v>180</v>
      </c>
    </row>
    <row r="250" spans="1:13" x14ac:dyDescent="0.25">
      <c r="A250" s="2" t="s">
        <v>433</v>
      </c>
      <c r="B250" s="2" t="s">
        <v>350</v>
      </c>
      <c r="C250" s="3" t="s">
        <v>27</v>
      </c>
      <c r="D250" s="3" t="s">
        <v>52</v>
      </c>
      <c r="E250" s="2" t="s">
        <v>35</v>
      </c>
      <c r="F250" s="4">
        <v>7</v>
      </c>
      <c r="G250" s="5">
        <v>0</v>
      </c>
      <c r="H250" s="3" t="str" cm="1">
        <f t="array" ref="H250:J250">_xlfn.XLOOKUP(E250,Catálogo_Productos!$A:$A,Catálogo_Productos!$B:$D,"producto no encontrado")</f>
        <v>Audífonos Noise Cancelling</v>
      </c>
      <c r="I250" s="3" t="str">
        <v>Audio</v>
      </c>
      <c r="J250" s="6">
        <v>190</v>
      </c>
      <c r="K250" s="6">
        <f t="shared" si="9"/>
        <v>1330</v>
      </c>
      <c r="L250" s="6">
        <f t="shared" si="10"/>
        <v>1330</v>
      </c>
      <c r="M250" s="19">
        <f t="shared" si="11"/>
        <v>0</v>
      </c>
    </row>
    <row r="251" spans="1:13" x14ac:dyDescent="0.25">
      <c r="A251" s="2" t="s">
        <v>434</v>
      </c>
      <c r="B251" s="2" t="s">
        <v>341</v>
      </c>
      <c r="C251" s="3" t="s">
        <v>23</v>
      </c>
      <c r="D251" s="3" t="s">
        <v>40</v>
      </c>
      <c r="E251" s="2" t="s">
        <v>32</v>
      </c>
      <c r="F251" s="4">
        <v>1</v>
      </c>
      <c r="G251" s="5">
        <v>0.05</v>
      </c>
      <c r="H251" s="3" t="str" cm="1">
        <f t="array" ref="H251:J251">_xlfn.XLOOKUP(E251,Catálogo_Productos!$A:$A,Catálogo_Productos!$B:$D,"producto no encontrado")</f>
        <v>Mouse Inalámbrico Pro</v>
      </c>
      <c r="I251" s="3" t="str">
        <v>Accesorios</v>
      </c>
      <c r="J251" s="6">
        <v>45</v>
      </c>
      <c r="K251" s="6">
        <f t="shared" si="9"/>
        <v>45</v>
      </c>
      <c r="L251" s="6">
        <f t="shared" si="10"/>
        <v>42.75</v>
      </c>
      <c r="M251" s="19">
        <f t="shared" si="11"/>
        <v>2.25</v>
      </c>
    </row>
    <row r="252" spans="1:13" x14ac:dyDescent="0.25">
      <c r="K252" s="19">
        <f>+SUM(K2:K251)</f>
        <v>328600</v>
      </c>
      <c r="L252" s="19">
        <f>+SUM(L2:L251)</f>
        <v>316081</v>
      </c>
    </row>
  </sheetData>
  <dataValidations count="2">
    <dataValidation type="list" allowBlank="1" showInputMessage="1" showErrorMessage="1" sqref="N3" xr:uid="{08CE0DA4-BB15-4F65-8B51-DF6BC537E42F}">
      <formula1>$C:$C</formula1>
    </dataValidation>
    <dataValidation type="list" allowBlank="1" showInputMessage="1" showErrorMessage="1" sqref="O7 O10" xr:uid="{6335FA14-5B82-4D73-9B2E-E2C47C29DB77}">
      <formula1>$D:$D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 activeCell="F18" sqref="F18"/>
    </sheetView>
  </sheetViews>
  <sheetFormatPr baseColWidth="10" defaultColWidth="9.140625" defaultRowHeight="15" x14ac:dyDescent="0.25"/>
  <cols>
    <col min="1" max="1" width="14" customWidth="1"/>
    <col min="2" max="2" width="30" customWidth="1"/>
    <col min="3" max="3" width="14" customWidth="1"/>
    <col min="4" max="4" width="16" customWidth="1"/>
  </cols>
  <sheetData>
    <row r="1" spans="1:4" x14ac:dyDescent="0.25">
      <c r="A1" s="1" t="s">
        <v>4</v>
      </c>
      <c r="B1" s="1" t="s">
        <v>7</v>
      </c>
      <c r="C1" s="1" t="s">
        <v>8</v>
      </c>
      <c r="D1" s="1" t="s">
        <v>435</v>
      </c>
    </row>
    <row r="2" spans="1:4" x14ac:dyDescent="0.25">
      <c r="A2" s="3" t="s">
        <v>28</v>
      </c>
      <c r="B2" s="3" t="s">
        <v>436</v>
      </c>
      <c r="C2" s="3" t="s">
        <v>437</v>
      </c>
      <c r="D2" s="7">
        <v>1200</v>
      </c>
    </row>
    <row r="3" spans="1:4" x14ac:dyDescent="0.25">
      <c r="A3" s="3" t="s">
        <v>93</v>
      </c>
      <c r="B3" s="3" t="s">
        <v>438</v>
      </c>
      <c r="C3" s="3" t="s">
        <v>437</v>
      </c>
      <c r="D3" s="7">
        <v>350</v>
      </c>
    </row>
    <row r="4" spans="1:4" x14ac:dyDescent="0.25">
      <c r="A4" s="3" t="s">
        <v>60</v>
      </c>
      <c r="B4" s="3" t="s">
        <v>439</v>
      </c>
      <c r="C4" s="3" t="s">
        <v>440</v>
      </c>
      <c r="D4" s="7">
        <v>85</v>
      </c>
    </row>
    <row r="5" spans="1:4" x14ac:dyDescent="0.25">
      <c r="A5" s="3" t="s">
        <v>32</v>
      </c>
      <c r="B5" s="3" t="s">
        <v>441</v>
      </c>
      <c r="C5" s="3" t="s">
        <v>440</v>
      </c>
      <c r="D5" s="7">
        <v>45</v>
      </c>
    </row>
    <row r="6" spans="1:4" x14ac:dyDescent="0.25">
      <c r="A6" s="3" t="s">
        <v>24</v>
      </c>
      <c r="B6" s="3" t="s">
        <v>442</v>
      </c>
      <c r="C6" s="3" t="s">
        <v>443</v>
      </c>
      <c r="D6" s="7">
        <v>280</v>
      </c>
    </row>
    <row r="7" spans="1:4" x14ac:dyDescent="0.25">
      <c r="A7" s="3" t="s">
        <v>57</v>
      </c>
      <c r="B7" s="3" t="s">
        <v>444</v>
      </c>
      <c r="C7" s="3" t="s">
        <v>443</v>
      </c>
      <c r="D7" s="7">
        <v>420</v>
      </c>
    </row>
    <row r="8" spans="1:4" x14ac:dyDescent="0.25">
      <c r="A8" s="3" t="s">
        <v>35</v>
      </c>
      <c r="B8" s="3" t="s">
        <v>445</v>
      </c>
      <c r="C8" s="3" t="s">
        <v>446</v>
      </c>
      <c r="D8" s="7">
        <v>190</v>
      </c>
    </row>
    <row r="9" spans="1:4" x14ac:dyDescent="0.25">
      <c r="A9" s="3" t="s">
        <v>16</v>
      </c>
      <c r="B9" s="3" t="s">
        <v>447</v>
      </c>
      <c r="C9" s="3" t="s">
        <v>446</v>
      </c>
      <c r="D9" s="7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1ED1-0FED-44F8-A111-84CAD588CB7C}">
  <dimension ref="B2:S44"/>
  <sheetViews>
    <sheetView showGridLines="0" tabSelected="1" zoomScale="70" zoomScaleNormal="70" workbookViewId="0">
      <selection activeCell="I46" sqref="I4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2" max="2" width="17.5703125" bestFit="1" customWidth="1"/>
    <col min="3" max="3" width="24" bestFit="1" customWidth="1"/>
    <col min="4" max="4" width="25.5703125" bestFit="1" customWidth="1"/>
    <col min="5" max="5" width="12.28515625" bestFit="1" customWidth="1"/>
    <col min="6" max="6" width="11.5703125" bestFit="1" customWidth="1"/>
    <col min="7" max="7" width="12.5703125" bestFit="1" customWidth="1"/>
    <col min="8" max="8" width="21.28515625" bestFit="1" customWidth="1"/>
    <col min="9" max="9" width="19.28515625" bestFit="1" customWidth="1"/>
    <col min="10" max="10" width="21.28515625" bestFit="1" customWidth="1"/>
    <col min="11" max="11" width="24.42578125" bestFit="1" customWidth="1"/>
    <col min="12" max="12" width="26.42578125" bestFit="1" customWidth="1"/>
    <col min="13" max="28" width="6.5703125" bestFit="1" customWidth="1"/>
    <col min="29" max="46" width="7.140625" bestFit="1" customWidth="1"/>
    <col min="47" max="47" width="10.5703125" bestFit="1" customWidth="1"/>
    <col min="48" max="48" width="7.140625" bestFit="1" customWidth="1"/>
    <col min="49" max="69" width="6.5703125" bestFit="1" customWidth="1"/>
    <col min="70" max="82" width="7.140625" bestFit="1" customWidth="1"/>
    <col min="83" max="83" width="10.5703125" bestFit="1" customWidth="1"/>
    <col min="84" max="84" width="8.140625" bestFit="1" customWidth="1"/>
    <col min="85" max="97" width="6.5703125" bestFit="1" customWidth="1"/>
    <col min="98" max="104" width="7.140625" bestFit="1" customWidth="1"/>
    <col min="105" max="105" width="11.5703125" bestFit="1" customWidth="1"/>
    <col min="106" max="106" width="8.140625" bestFit="1" customWidth="1"/>
    <col min="107" max="117" width="6.5703125" bestFit="1" customWidth="1"/>
    <col min="118" max="123" width="7.140625" bestFit="1" customWidth="1"/>
    <col min="124" max="124" width="11.5703125" bestFit="1" customWidth="1"/>
    <col min="125" max="125" width="12.85546875" bestFit="1" customWidth="1"/>
    <col min="126" max="142" width="10" bestFit="1" customWidth="1"/>
    <col min="143" max="143" width="10.5703125" bestFit="1" customWidth="1"/>
    <col min="144" max="206" width="10" bestFit="1" customWidth="1"/>
    <col min="207" max="207" width="10.5703125" bestFit="1" customWidth="1"/>
    <col min="208" max="234" width="10" bestFit="1" customWidth="1"/>
    <col min="235" max="235" width="11.5703125" bestFit="1" customWidth="1"/>
    <col min="236" max="255" width="10" bestFit="1" customWidth="1"/>
    <col min="256" max="256" width="11.5703125" bestFit="1" customWidth="1"/>
    <col min="257" max="257" width="12.85546875" bestFit="1" customWidth="1"/>
  </cols>
  <sheetData>
    <row r="2" spans="2:19" ht="18.75" x14ac:dyDescent="0.3">
      <c r="B2" s="31" t="s">
        <v>457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6" spans="2:19" x14ac:dyDescent="0.25">
      <c r="B6" s="16" t="s">
        <v>452</v>
      </c>
      <c r="C6" s="11" t="s">
        <v>454</v>
      </c>
      <c r="D6" s="11" t="s">
        <v>459</v>
      </c>
    </row>
    <row r="7" spans="2:19" x14ac:dyDescent="0.25">
      <c r="B7" s="17" t="s">
        <v>20</v>
      </c>
      <c r="C7" s="18">
        <v>54280.25</v>
      </c>
      <c r="D7" s="28">
        <v>0.17172892391507241</v>
      </c>
    </row>
    <row r="8" spans="2:19" x14ac:dyDescent="0.25">
      <c r="B8" s="17" t="s">
        <v>52</v>
      </c>
      <c r="C8" s="18">
        <v>65014.75</v>
      </c>
      <c r="D8" s="28">
        <v>0.20569015537156615</v>
      </c>
    </row>
    <row r="9" spans="2:19" x14ac:dyDescent="0.25">
      <c r="B9" s="17" t="s">
        <v>40</v>
      </c>
      <c r="C9" s="18">
        <v>84800.75</v>
      </c>
      <c r="D9" s="28">
        <v>0.26828803376349736</v>
      </c>
    </row>
    <row r="10" spans="2:19" x14ac:dyDescent="0.25">
      <c r="B10" s="17" t="s">
        <v>15</v>
      </c>
      <c r="C10" s="18">
        <v>111985.25</v>
      </c>
      <c r="D10" s="28">
        <v>0.35429288694986411</v>
      </c>
    </row>
    <row r="11" spans="2:19" x14ac:dyDescent="0.25">
      <c r="B11" s="17" t="s">
        <v>453</v>
      </c>
      <c r="C11" s="18">
        <v>316081</v>
      </c>
      <c r="D11" s="28">
        <v>1</v>
      </c>
    </row>
    <row r="17" spans="2:19" ht="18.75" x14ac:dyDescent="0.3">
      <c r="B17" s="31" t="s">
        <v>460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</row>
    <row r="19" spans="2:19" x14ac:dyDescent="0.25">
      <c r="B19" s="16" t="s">
        <v>6</v>
      </c>
      <c r="C19" s="11" t="s">
        <v>461</v>
      </c>
    </row>
    <row r="21" spans="2:19" x14ac:dyDescent="0.25">
      <c r="B21" s="16" t="s">
        <v>452</v>
      </c>
      <c r="C21" s="11" t="s">
        <v>462</v>
      </c>
      <c r="D21" s="11" t="s">
        <v>463</v>
      </c>
    </row>
    <row r="22" spans="2:19" x14ac:dyDescent="0.25">
      <c r="B22" s="17" t="s">
        <v>20</v>
      </c>
      <c r="C22" s="18">
        <v>704.75</v>
      </c>
      <c r="D22" s="28">
        <v>5.6294432462656759E-2</v>
      </c>
      <c r="H22" s="26"/>
    </row>
    <row r="23" spans="2:19" x14ac:dyDescent="0.25">
      <c r="B23" s="17" t="s">
        <v>52</v>
      </c>
      <c r="C23" s="18">
        <v>2825.25</v>
      </c>
      <c r="D23" s="28">
        <v>0.2256769710040738</v>
      </c>
      <c r="H23" s="24"/>
    </row>
    <row r="24" spans="2:19" x14ac:dyDescent="0.25">
      <c r="B24" s="17" t="s">
        <v>40</v>
      </c>
      <c r="C24" s="18">
        <v>3794.25</v>
      </c>
      <c r="D24" s="28">
        <v>0.30307931943445965</v>
      </c>
      <c r="H24" s="24"/>
    </row>
    <row r="25" spans="2:19" x14ac:dyDescent="0.25">
      <c r="B25" s="17" t="s">
        <v>15</v>
      </c>
      <c r="C25" s="18">
        <v>5194.75</v>
      </c>
      <c r="D25" s="28">
        <v>0.4149492770988098</v>
      </c>
      <c r="H25" s="24"/>
    </row>
    <row r="26" spans="2:19" x14ac:dyDescent="0.25">
      <c r="B26" s="17" t="s">
        <v>453</v>
      </c>
      <c r="C26" s="18">
        <v>12519</v>
      </c>
      <c r="D26" s="28">
        <v>1</v>
      </c>
      <c r="H26" s="24"/>
    </row>
    <row r="27" spans="2:19" x14ac:dyDescent="0.25">
      <c r="H27" s="27"/>
    </row>
    <row r="32" spans="2:19" ht="18.75" x14ac:dyDescent="0.3">
      <c r="B32" s="31" t="s">
        <v>464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</row>
    <row r="34" spans="2:8" x14ac:dyDescent="0.25">
      <c r="B34" s="16" t="s">
        <v>6</v>
      </c>
      <c r="C34" s="11" t="s">
        <v>461</v>
      </c>
    </row>
    <row r="36" spans="2:8" x14ac:dyDescent="0.25">
      <c r="B36" s="16" t="s">
        <v>454</v>
      </c>
      <c r="C36" s="16" t="s">
        <v>455</v>
      </c>
      <c r="D36" s="11"/>
      <c r="E36" s="11"/>
      <c r="F36" s="11"/>
      <c r="G36" s="21"/>
      <c r="H36" s="21"/>
    </row>
    <row r="37" spans="2:8" x14ac:dyDescent="0.25">
      <c r="B37" s="16" t="s">
        <v>452</v>
      </c>
      <c r="C37" s="11" t="s">
        <v>20</v>
      </c>
      <c r="D37" s="11" t="s">
        <v>52</v>
      </c>
      <c r="E37" s="11" t="s">
        <v>40</v>
      </c>
      <c r="F37" s="11" t="s">
        <v>15</v>
      </c>
      <c r="G37" s="21" t="s">
        <v>453</v>
      </c>
      <c r="H37" s="29" t="s">
        <v>456</v>
      </c>
    </row>
    <row r="38" spans="2:8" x14ac:dyDescent="0.25">
      <c r="B38" s="17" t="s">
        <v>27</v>
      </c>
      <c r="C38" s="18">
        <v>9015</v>
      </c>
      <c r="D38" s="18">
        <v>8694</v>
      </c>
      <c r="E38" s="18">
        <v>10120</v>
      </c>
      <c r="F38" s="18">
        <v>13881.25</v>
      </c>
      <c r="G38" s="18">
        <v>41710.25</v>
      </c>
      <c r="H38" s="20">
        <f>G38/$G$44</f>
        <v>0.13196063667224542</v>
      </c>
    </row>
    <row r="39" spans="2:8" x14ac:dyDescent="0.25">
      <c r="B39" s="17" t="s">
        <v>19</v>
      </c>
      <c r="C39" s="18">
        <v>7890.5</v>
      </c>
      <c r="D39" s="18">
        <v>4490</v>
      </c>
      <c r="E39" s="18">
        <v>13669.25</v>
      </c>
      <c r="F39" s="18">
        <v>17426</v>
      </c>
      <c r="G39" s="18">
        <v>43475.75</v>
      </c>
      <c r="H39" s="20">
        <f t="shared" ref="H39:H43" si="0">G39/$G$44</f>
        <v>0.13754623023845153</v>
      </c>
    </row>
    <row r="40" spans="2:8" x14ac:dyDescent="0.25">
      <c r="B40" s="17" t="s">
        <v>43</v>
      </c>
      <c r="C40" s="18">
        <v>7365</v>
      </c>
      <c r="D40" s="18">
        <v>14352.25</v>
      </c>
      <c r="E40" s="18">
        <v>11970.5</v>
      </c>
      <c r="F40" s="18">
        <v>16916.75</v>
      </c>
      <c r="G40" s="18">
        <v>50604.5</v>
      </c>
      <c r="H40" s="20">
        <f t="shared" si="0"/>
        <v>0.16009978454889728</v>
      </c>
    </row>
    <row r="41" spans="2:8" x14ac:dyDescent="0.25">
      <c r="B41" s="17" t="s">
        <v>31</v>
      </c>
      <c r="C41" s="18">
        <v>9695</v>
      </c>
      <c r="D41" s="18">
        <v>13869</v>
      </c>
      <c r="E41" s="18">
        <v>17720.5</v>
      </c>
      <c r="F41" s="18">
        <v>9437.25</v>
      </c>
      <c r="G41" s="18">
        <v>50721.75</v>
      </c>
      <c r="H41" s="20">
        <f t="shared" si="0"/>
        <v>0.1604707337676102</v>
      </c>
    </row>
    <row r="42" spans="2:8" x14ac:dyDescent="0.25">
      <c r="B42" s="17" t="s">
        <v>23</v>
      </c>
      <c r="C42" s="18">
        <v>7851</v>
      </c>
      <c r="D42" s="18">
        <v>8704</v>
      </c>
      <c r="E42" s="18">
        <v>2446.75</v>
      </c>
      <c r="F42" s="18">
        <v>32569</v>
      </c>
      <c r="G42" s="18">
        <v>51570.75</v>
      </c>
      <c r="H42" s="20">
        <f t="shared" si="0"/>
        <v>0.16315675412315198</v>
      </c>
    </row>
    <row r="43" spans="2:8" x14ac:dyDescent="0.25">
      <c r="B43" s="17" t="s">
        <v>14</v>
      </c>
      <c r="C43" s="18">
        <v>12463.75</v>
      </c>
      <c r="D43" s="18">
        <v>14905.5</v>
      </c>
      <c r="E43" s="18">
        <v>28873.75</v>
      </c>
      <c r="F43" s="18">
        <v>21755</v>
      </c>
      <c r="G43" s="18">
        <v>77998</v>
      </c>
      <c r="H43" s="20">
        <f t="shared" si="0"/>
        <v>0.24676586064964359</v>
      </c>
    </row>
    <row r="44" spans="2:8" x14ac:dyDescent="0.25">
      <c r="B44" s="17" t="s">
        <v>453</v>
      </c>
      <c r="C44" s="18">
        <v>54280.25</v>
      </c>
      <c r="D44" s="18">
        <v>65014.75</v>
      </c>
      <c r="E44" s="18">
        <v>84800.75</v>
      </c>
      <c r="F44" s="18">
        <v>111985.25</v>
      </c>
      <c r="G44" s="22">
        <v>316081</v>
      </c>
      <c r="H44" s="23">
        <f>+SUM(H38:H43)</f>
        <v>1</v>
      </c>
    </row>
  </sheetData>
  <mergeCells count="3">
    <mergeCell ref="B32:S32"/>
    <mergeCell ref="B17:S17"/>
    <mergeCell ref="B2:S2"/>
  </mergeCells>
  <conditionalFormatting pivot="1">
    <cfRule type="colorScale" priority="22">
      <colorScale>
        <cfvo type="min"/>
        <cfvo type="max"/>
        <color rgb="FFFF7128"/>
        <color rgb="FF92D050"/>
      </colorScale>
    </cfRule>
  </conditionalFormatting>
  <conditionalFormatting sqref="H23:H26">
    <cfRule type="colorScale" priority="17">
      <colorScale>
        <cfvo type="min"/>
        <cfvo type="max"/>
        <color rgb="FFFF7128"/>
        <color rgb="FF92D050"/>
      </colorScale>
    </cfRule>
  </conditionalFormatting>
  <conditionalFormatting pivot="1" sqref="C7:D10">
    <cfRule type="colorScale" priority="16">
      <colorScale>
        <cfvo type="min"/>
        <cfvo type="max"/>
        <color rgb="FFFF7128"/>
        <color rgb="FF92D050"/>
      </colorScale>
    </cfRule>
  </conditionalFormatting>
  <conditionalFormatting pivot="1" sqref="D7:D10">
    <cfRule type="colorScale" priority="15">
      <colorScale>
        <cfvo type="min"/>
        <cfvo type="max"/>
        <color rgb="FFFF7128"/>
        <color rgb="FF92D050"/>
      </colorScale>
    </cfRule>
  </conditionalFormatting>
  <conditionalFormatting pivot="1" sqref="C22:C25">
    <cfRule type="colorScale" priority="13">
      <colorScale>
        <cfvo type="min"/>
        <cfvo type="max"/>
        <color rgb="FFFF7128"/>
        <color rgb="FF92D050"/>
      </colorScale>
    </cfRule>
  </conditionalFormatting>
  <conditionalFormatting pivot="1" sqref="D22:D25">
    <cfRule type="colorScale" priority="12">
      <colorScale>
        <cfvo type="min"/>
        <cfvo type="max"/>
        <color rgb="FFFF7128"/>
        <color rgb="FF92D050"/>
      </colorScale>
    </cfRule>
  </conditionalFormatting>
  <conditionalFormatting pivot="1" sqref="C38:F38">
    <cfRule type="colorScale" priority="11">
      <colorScale>
        <cfvo type="min"/>
        <cfvo type="max"/>
        <color rgb="FFFF7128"/>
        <color rgb="FF92D050"/>
      </colorScale>
    </cfRule>
  </conditionalFormatting>
  <conditionalFormatting pivot="1" sqref="C39:F39">
    <cfRule type="colorScale" priority="10">
      <colorScale>
        <cfvo type="min"/>
        <cfvo type="max"/>
        <color rgb="FFFF7128"/>
        <color rgb="FF92D050"/>
      </colorScale>
    </cfRule>
  </conditionalFormatting>
  <conditionalFormatting pivot="1" sqref="C38:F38">
    <cfRule type="colorScale" priority="9">
      <colorScale>
        <cfvo type="min"/>
        <cfvo type="max"/>
        <color rgb="FFFF7128"/>
        <color rgb="FF92D050"/>
      </colorScale>
    </cfRule>
  </conditionalFormatting>
  <conditionalFormatting pivot="1" sqref="C40:F40">
    <cfRule type="colorScale" priority="8">
      <colorScale>
        <cfvo type="min"/>
        <cfvo type="max"/>
        <color rgb="FFFF7128"/>
        <color rgb="FF92D050"/>
      </colorScale>
    </cfRule>
  </conditionalFormatting>
  <conditionalFormatting pivot="1" sqref="C41:F41">
    <cfRule type="colorScale" priority="7">
      <colorScale>
        <cfvo type="min"/>
        <cfvo type="max"/>
        <color rgb="FFFF7128"/>
        <color rgb="FF92D050"/>
      </colorScale>
    </cfRule>
  </conditionalFormatting>
  <conditionalFormatting pivot="1" sqref="C42:F42">
    <cfRule type="colorScale" priority="6">
      <colorScale>
        <cfvo type="min"/>
        <cfvo type="max"/>
        <color rgb="FFFF7128"/>
        <color rgb="FF92D050"/>
      </colorScale>
    </cfRule>
  </conditionalFormatting>
  <conditionalFormatting pivot="1" sqref="C43:F43">
    <cfRule type="colorScale" priority="5">
      <colorScale>
        <cfvo type="min"/>
        <cfvo type="max"/>
        <color rgb="FFFF7128"/>
        <color rgb="FF92D050"/>
      </colorScale>
    </cfRule>
  </conditionalFormatting>
  <conditionalFormatting pivot="1" sqref="C43:F43">
    <cfRule type="colorScale" priority="4">
      <colorScale>
        <cfvo type="min"/>
        <cfvo type="max"/>
        <color rgb="FFFF7128"/>
        <color rgb="FF92D050"/>
      </colorScale>
    </cfRule>
  </conditionalFormatting>
  <conditionalFormatting pivot="1" sqref="C43:F43">
    <cfRule type="colorScale" priority="3">
      <colorScale>
        <cfvo type="min"/>
        <cfvo type="max"/>
        <color rgb="FFFF7128"/>
        <color rgb="FF92D050"/>
      </colorScale>
    </cfRule>
  </conditionalFormatting>
  <conditionalFormatting pivot="1" sqref="G38:G43">
    <cfRule type="colorScale" priority="2">
      <colorScale>
        <cfvo type="min"/>
        <cfvo type="max"/>
        <color rgb="FFFF7128"/>
        <color rgb="FF92D050"/>
      </colorScale>
    </cfRule>
  </conditionalFormatting>
  <conditionalFormatting sqref="H38:H43">
    <cfRule type="colorScale" priority="1">
      <colorScale>
        <cfvo type="min"/>
        <cfvo type="max"/>
        <color rgb="FFFF7128"/>
        <color rgb="FF92D050"/>
      </colorScale>
    </cfRule>
  </conditionalFormatting>
  <pageMargins left="0.7" right="0.7" top="0.75" bottom="0.75" header="0.3" footer="0.3"/>
  <pageSetup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1BE2-C378-4635-BA38-CB222067585B}">
  <dimension ref="B2:F16"/>
  <sheetViews>
    <sheetView showGridLines="0" showRowColHeaders="0" workbookViewId="0">
      <selection activeCell="F27" sqref="F2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3" max="3" width="12.42578125" bestFit="1" customWidth="1"/>
    <col min="4" max="4" width="12" bestFit="1" customWidth="1"/>
    <col min="5" max="5" width="15.85546875" bestFit="1" customWidth="1"/>
  </cols>
  <sheetData>
    <row r="2" spans="2:6" x14ac:dyDescent="0.25">
      <c r="F2" s="15"/>
    </row>
    <row r="4" spans="2:6" x14ac:dyDescent="0.25">
      <c r="B4" s="30" t="s">
        <v>465</v>
      </c>
      <c r="C4" s="30"/>
      <c r="D4" s="30"/>
      <c r="E4" s="30"/>
    </row>
    <row r="6" spans="2:6" x14ac:dyDescent="0.25">
      <c r="B6" s="14" t="s">
        <v>448</v>
      </c>
      <c r="C6" s="14" t="s">
        <v>449</v>
      </c>
      <c r="D6" s="14" t="s">
        <v>450</v>
      </c>
      <c r="E6" s="14" t="s">
        <v>451</v>
      </c>
    </row>
    <row r="7" spans="2:6" x14ac:dyDescent="0.25">
      <c r="B7" s="11" t="s">
        <v>15</v>
      </c>
      <c r="C7" s="12">
        <v>0</v>
      </c>
      <c r="D7" s="13">
        <f>SUMIFS(Ventas_2026!L:L,Ventas_2026!D:D,'Dashboard KPIS'!B7,Ventas_2026!G:G,"="&amp;'Dashboard KPIS'!C7)</f>
        <v>56935</v>
      </c>
      <c r="E7" s="11">
        <f>COUNTIFS(Ventas_2026!D:D,'Dashboard KPIS'!B7,Ventas_2026!G:G,"="&amp;'Dashboard KPIS'!C7)</f>
        <v>38</v>
      </c>
    </row>
    <row r="9" spans="2:6" x14ac:dyDescent="0.25">
      <c r="B9" s="14" t="s">
        <v>448</v>
      </c>
      <c r="C9" s="14" t="s">
        <v>449</v>
      </c>
      <c r="D9" s="14" t="s">
        <v>450</v>
      </c>
      <c r="E9" s="14" t="s">
        <v>451</v>
      </c>
    </row>
    <row r="10" spans="2:6" x14ac:dyDescent="0.25">
      <c r="B10" s="11" t="s">
        <v>20</v>
      </c>
      <c r="C10" s="12">
        <v>0</v>
      </c>
      <c r="D10" s="13">
        <f>SUMIFS(Ventas_2026!L:L,Ventas_2026!D:D,'Dashboard KPIS'!B10,Ventas_2026!G:G,"="&amp;'Dashboard KPIS'!C10)</f>
        <v>44550</v>
      </c>
      <c r="E10" s="11">
        <f>COUNTIFS(Ventas_2026!D:D,'Dashboard KPIS'!B10,Ventas_2026!G:G,"="&amp;'Dashboard KPIS'!C10)</f>
        <v>37</v>
      </c>
    </row>
    <row r="12" spans="2:6" x14ac:dyDescent="0.25">
      <c r="B12" s="14" t="s">
        <v>448</v>
      </c>
      <c r="C12" s="14" t="s">
        <v>449</v>
      </c>
      <c r="D12" s="14" t="s">
        <v>450</v>
      </c>
      <c r="E12" s="14" t="s">
        <v>451</v>
      </c>
    </row>
    <row r="13" spans="2:6" x14ac:dyDescent="0.25">
      <c r="B13" s="11" t="s">
        <v>40</v>
      </c>
      <c r="C13" s="12">
        <v>0</v>
      </c>
      <c r="D13" s="13">
        <f>SUMIFS(Ventas_2026!L:L,Ventas_2026!D:D,'Dashboard KPIS'!B13,Ventas_2026!G:G,"="&amp;'Dashboard KPIS'!C13)</f>
        <v>43785</v>
      </c>
      <c r="E13" s="11">
        <f>COUNTIFS(Ventas_2026!D:D,'Dashboard KPIS'!B13,Ventas_2026!G:G,"="&amp;'Dashboard KPIS'!C13)</f>
        <v>31</v>
      </c>
    </row>
    <row r="15" spans="2:6" x14ac:dyDescent="0.25">
      <c r="B15" s="14" t="s">
        <v>448</v>
      </c>
      <c r="C15" s="14" t="s">
        <v>449</v>
      </c>
      <c r="D15" s="14" t="s">
        <v>450</v>
      </c>
      <c r="E15" s="14" t="s">
        <v>451</v>
      </c>
    </row>
    <row r="16" spans="2:6" x14ac:dyDescent="0.25">
      <c r="B16" s="11" t="s">
        <v>52</v>
      </c>
      <c r="C16" s="12">
        <v>0</v>
      </c>
      <c r="D16" s="13">
        <f>SUMIFS(Ventas_2026!L:L,Ventas_2026!D:D,'Dashboard KPIS'!B16,Ventas_2026!G:G,"="&amp;'Dashboard KPIS'!C16)</f>
        <v>34190</v>
      </c>
      <c r="E16" s="11">
        <f>COUNTIFS(Ventas_2026!D:D,'Dashboard KPIS'!B16,Ventas_2026!G:G,"="&amp;'Dashboard KPIS'!C16)</f>
        <v>34</v>
      </c>
    </row>
  </sheetData>
  <mergeCells count="1">
    <mergeCell ref="B4:E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8EEDAC-9B4C-4418-9178-CF8F766AB4B5}">
          <x14:formula1>
            <xm:f>Ventas_2026!$D$2:$D$251</xm:f>
          </x14:formula1>
          <xm:sqref>B7 B10 B13 B16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Ventas_2026</vt:lpstr>
      <vt:lpstr>Catálogo_Productos</vt:lpstr>
      <vt:lpstr>Tablas Dinamicas</vt:lpstr>
      <vt:lpstr>Dashboard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STEVEN VILLOTA JOJOA</cp:lastModifiedBy>
  <dcterms:created xsi:type="dcterms:W3CDTF">2026-08-18T15:16:16Z</dcterms:created>
  <dcterms:modified xsi:type="dcterms:W3CDTF">2026-08-25T14:54:04Z</dcterms:modified>
</cp:coreProperties>
</file>